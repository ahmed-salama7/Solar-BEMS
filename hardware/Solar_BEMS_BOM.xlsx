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500" firstSheet="0" activeTab="0" autoFilterDateGrouping="1"/>
  </bookViews>
  <sheets>
    <sheet xmlns:r="http://schemas.openxmlformats.org/officeDocument/2006/relationships" name="Bill of Materials" sheetId="1" state="visible" r:id="rId1"/>
    <sheet xmlns:r="http://schemas.openxmlformats.org/officeDocument/2006/relationships" name="Cost Summary" sheetId="2" state="visible" r:id="rId2"/>
    <sheet xmlns:r="http://schemas.openxmlformats.org/officeDocument/2006/relationships" name="How to Use" sheetId="3" state="visible" r:id="rId3"/>
  </sheets>
  <definedNames/>
  <calcPr calcId="191029" fullCalcOnLoad="1" iterateDelta="0.0001"/>
</workbook>
</file>

<file path=xl/styles.xml><?xml version="1.0" encoding="utf-8"?>
<styleSheet xmlns="http://schemas.openxmlformats.org/spreadsheetml/2006/main">
  <numFmts count="2">
    <numFmt numFmtId="164" formatCode="\₺#,##0.00"/>
    <numFmt numFmtId="165" formatCode="0.0%"/>
  </numFmts>
  <fonts count="19">
    <font>
      <name val="Calibri"/>
      <charset val="1"/>
      <family val="2"/>
      <color theme="1"/>
      <sz val="11"/>
    </font>
    <font>
      <name val="Arial"/>
      <charset val="1"/>
      <b val="1"/>
      <color rgb="FFFFFFFF"/>
      <sz val="16"/>
    </font>
    <font>
      <name val="Arial"/>
      <charset val="1"/>
      <i val="1"/>
      <color rgb="FFFFFFFF"/>
      <sz val="11"/>
    </font>
    <font>
      <name val="Arial"/>
      <charset val="1"/>
      <b val="1"/>
      <color rgb="FF000000"/>
      <sz val="10"/>
    </font>
    <font>
      <name val="Arial"/>
      <charset val="1"/>
      <i val="1"/>
      <color rgb="FF885500"/>
      <sz val="10"/>
    </font>
    <font>
      <name val="Arial"/>
      <charset val="1"/>
      <i val="1"/>
      <color rgb="FF333333"/>
      <sz val="9"/>
    </font>
    <font>
      <name val="Arial"/>
      <charset val="1"/>
      <b val="1"/>
      <color rgb="FFFFFFFF"/>
      <sz val="10"/>
    </font>
    <font>
      <name val="Arial"/>
      <charset val="1"/>
      <color rgb="FF000000"/>
      <sz val="10"/>
    </font>
    <font>
      <name val="Arial"/>
      <charset val="1"/>
      <b val="1"/>
      <color rgb="FF1F3864"/>
      <sz val="10"/>
    </font>
    <font>
      <name val="Arial"/>
      <charset val="1"/>
      <i val="1"/>
      <color rgb="FF1155CC"/>
      <sz val="10"/>
    </font>
    <font>
      <name val="Arial"/>
      <charset val="1"/>
      <b val="1"/>
      <color rgb="FFFFFFFF"/>
      <sz val="11"/>
    </font>
    <font>
      <name val="Arial"/>
      <charset val="1"/>
      <b val="1"/>
      <color rgb="FFFFFFFF"/>
      <sz val="12"/>
    </font>
    <font>
      <name val="Arial"/>
      <charset val="1"/>
      <i val="1"/>
      <color rgb="FF444444"/>
      <sz val="9"/>
    </font>
    <font>
      <name val="Arial"/>
      <charset val="1"/>
      <b val="1"/>
      <color rgb="FFFFFFFF"/>
      <sz val="14"/>
    </font>
    <font>
      <name val="Arial"/>
      <charset val="1"/>
      <i val="1"/>
      <color rgb="FF444444"/>
      <sz val="10"/>
    </font>
    <font>
      <name val="Arial"/>
      <charset val="1"/>
      <i val="1"/>
      <color rgb="FF555555"/>
      <sz val="10"/>
    </font>
    <font>
      <name val="Arial"/>
      <charset val="1"/>
      <b val="1"/>
      <color rgb="FFFFFFFF"/>
      <sz val="13"/>
    </font>
    <font>
      <name val="Arial"/>
      <charset val="1"/>
      <i val="1"/>
      <color rgb="FFFFFFFF"/>
      <sz val="10"/>
    </font>
    <font>
      <name val="Arial"/>
      <charset val="1"/>
      <color rgb="FF1F3864"/>
      <sz val="10"/>
    </font>
  </fonts>
  <fills count="21">
    <fill>
      <patternFill/>
    </fill>
    <fill>
      <patternFill patternType="gray125"/>
    </fill>
    <fill>
      <patternFill patternType="solid">
        <fgColor rgb="FF1F3864"/>
        <bgColor rgb="FF333333"/>
      </patternFill>
    </fill>
    <fill>
      <patternFill patternType="solid">
        <fgColor rgb="FFFFF8DC"/>
        <bgColor rgb="FFFFF8E1"/>
      </patternFill>
    </fill>
    <fill>
      <patternFill patternType="solid">
        <fgColor rgb="FFE8F0F8"/>
        <bgColor rgb="FFEDEDED"/>
      </patternFill>
    </fill>
    <fill>
      <patternFill patternType="solid">
        <fgColor rgb="FF2E75B6"/>
        <bgColor rgb="FF1155CC"/>
      </patternFill>
    </fill>
    <fill>
      <patternFill patternType="solid">
        <fgColor rgb="FFD6E4F7"/>
        <bgColor rgb="FFD9EAD3"/>
      </patternFill>
    </fill>
    <fill>
      <patternFill patternType="solid">
        <fgColor rgb="FFF7FBFF"/>
        <bgColor rgb="FFFFFFFF"/>
      </patternFill>
    </fill>
    <fill>
      <patternFill patternType="solid">
        <fgColor rgb="FFFFF8E1"/>
        <bgColor rgb="FFFFF8DC"/>
      </patternFill>
    </fill>
    <fill>
      <patternFill patternType="solid">
        <fgColor rgb="FFEDF7FF"/>
        <bgColor rgb="FFF0F4F8"/>
      </patternFill>
    </fill>
    <fill>
      <patternFill patternType="solid">
        <fgColor rgb="FFFFFFFF"/>
        <bgColor rgb="FFF7FBFF"/>
      </patternFill>
    </fill>
    <fill>
      <patternFill patternType="solid">
        <fgColor rgb="FFD9D2E9"/>
        <bgColor rgb="FFEAD1DC"/>
      </patternFill>
    </fill>
    <fill>
      <patternFill patternType="solid">
        <fgColor rgb="FFFFF2CC"/>
        <bgColor rgb="FFFFF8DC"/>
      </patternFill>
    </fill>
    <fill>
      <patternFill patternType="solid">
        <fgColor rgb="FFFCE4D6"/>
        <bgColor rgb="FFFFF2CC"/>
      </patternFill>
    </fill>
    <fill>
      <patternFill patternType="solid">
        <fgColor rgb="FFE2EFDA"/>
        <bgColor rgb="FFD9EAD3"/>
      </patternFill>
    </fill>
    <fill>
      <patternFill patternType="solid">
        <fgColor rgb="FFEDEDED"/>
        <bgColor rgb="FFE8F0F8"/>
      </patternFill>
    </fill>
    <fill>
      <patternFill patternType="solid">
        <fgColor rgb="FFEAD1DC"/>
        <bgColor rgb="FFF4CCCC"/>
      </patternFill>
    </fill>
    <fill>
      <patternFill patternType="solid">
        <fgColor rgb="FFF4CCCC"/>
        <bgColor rgb="FFEAD1DC"/>
      </patternFill>
    </fill>
    <fill>
      <patternFill patternType="solid">
        <fgColor rgb="FFD9EAD3"/>
        <bgColor rgb="FFE2EFDA"/>
      </patternFill>
    </fill>
    <fill>
      <patternFill patternType="solid">
        <fgColor rgb="FFFFF9E6"/>
        <bgColor rgb="FFFFF8E1"/>
      </patternFill>
    </fill>
    <fill>
      <patternFill patternType="solid">
        <fgColor rgb="FFF0F4F8"/>
        <bgColor rgb="FFEDF7FF"/>
      </patternFill>
    </fill>
  </fills>
  <borders count="9">
    <border>
      <left/>
      <right/>
      <top/>
      <bottom/>
      <diagonal/>
    </border>
    <border>
      <left style="thin">
        <color rgb="FFBFC9CA"/>
      </left>
      <right style="thin">
        <color rgb="FFBFC9CA"/>
      </right>
      <top style="thin">
        <color rgb="FFBFC9CA"/>
      </top>
      <bottom style="thin">
        <color rgb="FFBFC9CA"/>
      </bottom>
      <diagonal/>
    </border>
    <border>
      <left style="medium">
        <color rgb="FF2E75B6"/>
      </left>
      <right/>
      <top style="medium">
        <color rgb="FF2E75B6"/>
      </top>
      <bottom style="medium">
        <color rgb="FF2E75B6"/>
      </bottom>
      <diagonal/>
    </border>
    <border>
      <left style="medium">
        <color rgb="FF2E75B6"/>
      </left>
      <right style="medium">
        <color rgb="FF2E75B6"/>
      </right>
      <top style="medium">
        <color rgb="FF2E75B6"/>
      </top>
      <bottom style="medium">
        <color rgb="FF2E75B6"/>
      </bottom>
      <diagonal/>
    </border>
    <border>
      <left style="thin">
        <color rgb="FFBFC9CA"/>
      </left>
      <right/>
      <top style="thin">
        <color rgb="FFBFC9CA"/>
      </top>
      <bottom style="thin">
        <color rgb="FFBFC9CA"/>
      </bottom>
      <diagonal/>
    </border>
    <border>
      <left/>
      <right/>
      <top style="medium">
        <color rgb="FF2E75B6"/>
      </top>
      <bottom/>
      <diagonal/>
    </border>
    <border>
      <left/>
      <right/>
      <top style="medium">
        <color rgb="FF2E75B6"/>
      </top>
      <bottom style="medium">
        <color rgb="FF2E75B6"/>
      </bottom>
      <diagonal/>
    </border>
    <border>
      <left/>
      <right/>
      <top style="thin">
        <color rgb="FFBFC9CA"/>
      </top>
      <bottom/>
      <diagonal/>
    </border>
    <border>
      <left/>
      <right/>
      <top style="thin">
        <color rgb="FFBFC9CA"/>
      </top>
      <bottom style="thin">
        <color rgb="FFBFC9CA"/>
      </bottom>
      <diagonal/>
    </border>
  </borders>
  <cellStyleXfs count="1">
    <xf numFmtId="0" fontId="0" fillId="0" borderId="0"/>
  </cellStyleXfs>
  <cellXfs count="73">
    <xf numFmtId="0" fontId="0" fillId="0" borderId="0" pivotButton="0" quotePrefix="0" xfId="0"/>
    <xf numFmtId="0" fontId="10" fillId="2" borderId="0" applyAlignment="1" pivotButton="0" quotePrefix="0" xfId="0">
      <alignment horizontal="center" vertical="center"/>
    </xf>
    <xf numFmtId="0" fontId="11" fillId="2" borderId="2" applyAlignment="1" pivotButton="0" quotePrefix="0" xfId="0">
      <alignment horizontal="right" vertical="center"/>
    </xf>
    <xf numFmtId="0" fontId="14" fillId="20" borderId="0" applyAlignment="1" pivotButton="0" quotePrefix="0" xfId="0">
      <alignment horizontal="center" vertical="center"/>
    </xf>
    <xf numFmtId="0" fontId="13" fillId="2" borderId="0" applyAlignment="1" pivotButton="0" quotePrefix="0" xfId="0">
      <alignment horizontal="center" vertical="center"/>
    </xf>
    <xf numFmtId="0" fontId="12" fillId="19" borderId="4" applyAlignment="1" pivotButton="0" quotePrefix="0" xfId="0">
      <alignment horizontal="left" vertical="center" wrapText="1"/>
    </xf>
    <xf numFmtId="0" fontId="10" fillId="2" borderId="2" applyAlignment="1" pivotButton="0" quotePrefix="0" xfId="0">
      <alignment horizontal="right" vertical="center"/>
    </xf>
    <xf numFmtId="0" fontId="5" fillId="0" borderId="0" applyAlignment="1" pivotButton="0" quotePrefix="0" xfId="0">
      <alignment horizontal="left" vertical="center"/>
    </xf>
    <xf numFmtId="0" fontId="0" fillId="4" borderId="0" pivotButton="0" quotePrefix="0" xfId="0"/>
    <xf numFmtId="0" fontId="4" fillId="3" borderId="0" applyAlignment="1" pivotButton="0" quotePrefix="0" xfId="0">
      <alignment horizontal="center" vertical="center"/>
    </xf>
    <xf numFmtId="0" fontId="3" fillId="0" borderId="0" applyAlignment="1" pivotButton="0" quotePrefix="0" xfId="0">
      <alignment horizontal="left" vertical="center"/>
    </xf>
    <xf numFmtId="0" fontId="2" fillId="2" borderId="0" applyAlignment="1" pivotButton="0" quotePrefix="0" xfId="0">
      <alignment horizontal="center" vertical="center"/>
    </xf>
    <xf numFmtId="0" fontId="1" fillId="2" borderId="0" applyAlignment="1" pivotButton="0" quotePrefix="0" xfId="0">
      <alignment horizontal="center" vertical="center"/>
    </xf>
    <xf numFmtId="0" fontId="6"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3" fillId="6" borderId="1" applyAlignment="1" pivotButton="0" quotePrefix="0" xfId="0">
      <alignment horizontal="left" vertical="center" wrapText="1"/>
    </xf>
    <xf numFmtId="0" fontId="7" fillId="7" borderId="1" applyAlignment="1" pivotButton="0" quotePrefix="0" xfId="0">
      <alignment horizontal="left" vertical="center" wrapText="1"/>
    </xf>
    <xf numFmtId="0" fontId="7" fillId="7" borderId="1" applyAlignment="1" pivotButton="0" quotePrefix="0" xfId="0">
      <alignment horizontal="center" vertical="center" wrapText="1"/>
    </xf>
    <xf numFmtId="164" fontId="4" fillId="8" borderId="1" applyAlignment="1" pivotButton="0" quotePrefix="0" xfId="0">
      <alignment horizontal="center" vertical="center"/>
    </xf>
    <xf numFmtId="164" fontId="8" fillId="9" borderId="1" applyAlignment="1" pivotButton="0" quotePrefix="0" xfId="0">
      <alignment horizontal="center" vertical="center"/>
    </xf>
    <xf numFmtId="0" fontId="0" fillId="0" borderId="1" applyAlignment="1" pivotButton="0" quotePrefix="0" xfId="0">
      <alignment horizontal="center" vertical="center"/>
    </xf>
    <xf numFmtId="0" fontId="9" fillId="0" borderId="1" applyAlignment="1" pivotButton="0" quotePrefix="0" xfId="0">
      <alignment horizontal="left" vertical="center" wrapText="1"/>
    </xf>
    <xf numFmtId="0" fontId="7" fillId="10" borderId="1" applyAlignment="1" pivotButton="0" quotePrefix="0" xfId="0">
      <alignment horizontal="left" vertical="center" wrapText="1"/>
    </xf>
    <xf numFmtId="0" fontId="7" fillId="10" borderId="1" applyAlignment="1" pivotButton="0" quotePrefix="0" xfId="0">
      <alignment horizontal="center" vertical="center" wrapText="1"/>
    </xf>
    <xf numFmtId="0" fontId="7" fillId="11" borderId="1" applyAlignment="1" pivotButton="0" quotePrefix="0" xfId="0">
      <alignment horizontal="center" vertical="center" wrapText="1"/>
    </xf>
    <xf numFmtId="0" fontId="3" fillId="11" borderId="1" applyAlignment="1" pivotButton="0" quotePrefix="0" xfId="0">
      <alignment horizontal="left" vertical="center" wrapText="1"/>
    </xf>
    <xf numFmtId="0" fontId="7" fillId="12" borderId="1" applyAlignment="1" pivotButton="0" quotePrefix="0" xfId="0">
      <alignment horizontal="center" vertical="center" wrapText="1"/>
    </xf>
    <xf numFmtId="0" fontId="3" fillId="12" borderId="1" applyAlignment="1" pivotButton="0" quotePrefix="0" xfId="0">
      <alignment horizontal="left" vertical="center" wrapText="1"/>
    </xf>
    <xf numFmtId="0" fontId="7" fillId="13" borderId="1" applyAlignment="1" pivotButton="0" quotePrefix="0" xfId="0">
      <alignment horizontal="center" vertical="center" wrapText="1"/>
    </xf>
    <xf numFmtId="0" fontId="3" fillId="13" borderId="1" applyAlignment="1" pivotButton="0" quotePrefix="0" xfId="0">
      <alignment horizontal="left" vertical="center" wrapText="1"/>
    </xf>
    <xf numFmtId="0" fontId="7" fillId="14" borderId="1" applyAlignment="1" pivotButton="0" quotePrefix="0" xfId="0">
      <alignment horizontal="center" vertical="center" wrapText="1"/>
    </xf>
    <xf numFmtId="0" fontId="3" fillId="14" borderId="1" applyAlignment="1" pivotButton="0" quotePrefix="0" xfId="0">
      <alignment horizontal="left" vertical="center" wrapText="1"/>
    </xf>
    <xf numFmtId="0" fontId="7" fillId="15" borderId="1" applyAlignment="1" pivotButton="0" quotePrefix="0" xfId="0">
      <alignment horizontal="center" vertical="center" wrapText="1"/>
    </xf>
    <xf numFmtId="0" fontId="3" fillId="15" borderId="1" applyAlignment="1" pivotButton="0" quotePrefix="0" xfId="0">
      <alignment horizontal="left" vertical="center" wrapText="1"/>
    </xf>
    <xf numFmtId="0" fontId="7" fillId="16" borderId="1" applyAlignment="1" pivotButton="0" quotePrefix="0" xfId="0">
      <alignment horizontal="center" vertical="center" wrapText="1"/>
    </xf>
    <xf numFmtId="0" fontId="3" fillId="16" borderId="1" applyAlignment="1" pivotButton="0" quotePrefix="0" xfId="0">
      <alignment horizontal="left" vertical="center" wrapText="1"/>
    </xf>
    <xf numFmtId="0" fontId="7" fillId="17" borderId="1" applyAlignment="1" pivotButton="0" quotePrefix="0" xfId="0">
      <alignment horizontal="center" vertical="center" wrapText="1"/>
    </xf>
    <xf numFmtId="0" fontId="3" fillId="17" borderId="1" applyAlignment="1" pivotButton="0" quotePrefix="0" xfId="0">
      <alignment horizontal="left" vertical="center" wrapText="1"/>
    </xf>
    <xf numFmtId="0" fontId="7" fillId="18" borderId="1" applyAlignment="1" pivotButton="0" quotePrefix="0" xfId="0">
      <alignment horizontal="center" vertical="center" wrapText="1"/>
    </xf>
    <xf numFmtId="0" fontId="3" fillId="18" borderId="1" applyAlignment="1" pivotButton="0" quotePrefix="0" xfId="0">
      <alignment horizontal="left" vertical="center" wrapText="1"/>
    </xf>
    <xf numFmtId="0" fontId="0" fillId="2" borderId="3" pivotButton="0" quotePrefix="0" xfId="0"/>
    <xf numFmtId="164" fontId="11" fillId="2" borderId="3" applyAlignment="1" pivotButton="0" quotePrefix="0" xfId="0">
      <alignment horizontal="center" vertical="center"/>
    </xf>
    <xf numFmtId="0" fontId="13" fillId="2" borderId="0" applyAlignment="1" pivotButton="0" quotePrefix="0" xfId="0">
      <alignment horizontal="center" vertical="center"/>
    </xf>
    <xf numFmtId="0" fontId="6" fillId="5" borderId="1" applyAlignment="1" pivotButton="0" quotePrefix="0" xfId="0">
      <alignment horizontal="center" vertical="center"/>
    </xf>
    <xf numFmtId="0" fontId="3" fillId="6" borderId="1" applyAlignment="1" pivotButton="0" quotePrefix="0" xfId="0">
      <alignment horizontal="left" vertical="center"/>
    </xf>
    <xf numFmtId="0" fontId="7" fillId="7" borderId="1" applyAlignment="1" pivotButton="0" quotePrefix="0" xfId="0">
      <alignment horizontal="center" vertical="center"/>
    </xf>
    <xf numFmtId="0" fontId="7" fillId="8" borderId="1" applyAlignment="1" pivotButton="0" quotePrefix="0" xfId="0">
      <alignment horizontal="center" vertical="center"/>
    </xf>
    <xf numFmtId="0" fontId="15" fillId="7" borderId="1" applyAlignment="1" pivotButton="0" quotePrefix="0" xfId="0">
      <alignment horizontal="left" vertical="center" wrapText="1"/>
    </xf>
    <xf numFmtId="0" fontId="3" fillId="11" borderId="1" applyAlignment="1" pivotButton="0" quotePrefix="0" xfId="0">
      <alignment horizontal="left" vertical="center"/>
    </xf>
    <xf numFmtId="0" fontId="7" fillId="10" borderId="1" applyAlignment="1" pivotButton="0" quotePrefix="0" xfId="0">
      <alignment horizontal="center" vertical="center"/>
    </xf>
    <xf numFmtId="0" fontId="15" fillId="10" borderId="1" applyAlignment="1" pivotButton="0" quotePrefix="0" xfId="0">
      <alignment horizontal="left" vertical="center" wrapText="1"/>
    </xf>
    <xf numFmtId="0" fontId="3" fillId="12" borderId="1" applyAlignment="1" pivotButton="0" quotePrefix="0" xfId="0">
      <alignment horizontal="left" vertical="center"/>
    </xf>
    <xf numFmtId="0" fontId="3" fillId="13" borderId="1" applyAlignment="1" pivotButton="0" quotePrefix="0" xfId="0">
      <alignment horizontal="left" vertical="center"/>
    </xf>
    <xf numFmtId="0" fontId="3" fillId="14" borderId="1" applyAlignment="1" pivotButton="0" quotePrefix="0" xfId="0">
      <alignment horizontal="left" vertical="center"/>
    </xf>
    <xf numFmtId="0" fontId="3" fillId="15" borderId="1" applyAlignment="1" pivotButton="0" quotePrefix="0" xfId="0">
      <alignment horizontal="left" vertical="center"/>
    </xf>
    <xf numFmtId="0" fontId="3" fillId="16" borderId="1" applyAlignment="1" pivotButton="0" quotePrefix="0" xfId="0">
      <alignment horizontal="left" vertical="center"/>
    </xf>
    <xf numFmtId="0" fontId="3" fillId="17" borderId="1" applyAlignment="1" pivotButton="0" quotePrefix="0" xfId="0">
      <alignment horizontal="left" vertical="center"/>
    </xf>
    <xf numFmtId="0" fontId="3" fillId="18" borderId="1" applyAlignment="1" pivotButton="0" quotePrefix="0" xfId="0">
      <alignment horizontal="left" vertical="center"/>
    </xf>
    <xf numFmtId="164" fontId="16" fillId="2" borderId="3" applyAlignment="1" pivotButton="0" quotePrefix="0" xfId="0">
      <alignment horizontal="center" vertical="center"/>
    </xf>
    <xf numFmtId="0" fontId="17" fillId="2" borderId="3" applyAlignment="1" pivotButton="0" quotePrefix="0" xfId="0">
      <alignment horizontal="left" vertical="center"/>
    </xf>
    <xf numFmtId="0" fontId="7" fillId="7" borderId="1" applyAlignment="1" pivotButton="0" quotePrefix="0" xfId="0">
      <alignment horizontal="left" vertical="center"/>
    </xf>
    <xf numFmtId="0" fontId="8" fillId="8" borderId="1" applyAlignment="1" pivotButton="0" quotePrefix="0" xfId="0">
      <alignment horizontal="center" vertical="center"/>
    </xf>
    <xf numFmtId="0" fontId="15" fillId="0" borderId="1" applyAlignment="1" pivotButton="0" quotePrefix="0" xfId="0">
      <alignment horizontal="left" vertical="center"/>
    </xf>
    <xf numFmtId="0" fontId="7" fillId="10" borderId="1" applyAlignment="1" pivotButton="0" quotePrefix="0" xfId="0">
      <alignment horizontal="left" vertical="center"/>
    </xf>
    <xf numFmtId="165" fontId="8" fillId="8" borderId="1" applyAlignment="1" pivotButton="0" quotePrefix="0" xfId="0">
      <alignment horizontal="center" vertical="center"/>
    </xf>
    <xf numFmtId="0" fontId="0" fillId="0" borderId="0" applyAlignment="1" pivotButton="0" quotePrefix="0" xfId="0">
      <alignment horizontal="left" vertical="center" wrapText="1"/>
    </xf>
    <xf numFmtId="0" fontId="10" fillId="5" borderId="0" applyAlignment="1" pivotButton="0" quotePrefix="0" xfId="0">
      <alignment horizontal="left" vertical="center" wrapText="1"/>
    </xf>
    <xf numFmtId="0" fontId="7" fillId="7" borderId="0" applyAlignment="1" pivotButton="0" quotePrefix="0" xfId="0">
      <alignment horizontal="left" vertical="center" wrapText="1"/>
    </xf>
    <xf numFmtId="0" fontId="7" fillId="10" borderId="0" applyAlignment="1" pivotButton="0" quotePrefix="0" xfId="0">
      <alignment horizontal="left" vertical="center" wrapText="1"/>
    </xf>
    <xf numFmtId="0" fontId="18" fillId="7" borderId="0" applyAlignment="1" pivotButton="0" quotePrefix="0" xfId="0">
      <alignment horizontal="left" vertical="center" wrapText="1"/>
    </xf>
    <xf numFmtId="0" fontId="18" fillId="10" borderId="0" applyAlignment="1" pivotButton="0" quotePrefix="0" xfId="0">
      <alignment horizontal="left" vertical="center" wrapText="1"/>
    </xf>
    <xf numFmtId="0" fontId="0" fillId="0" borderId="6" pivotButton="0" quotePrefix="0" xfId="0"/>
    <xf numFmtId="0" fontId="0" fillId="0" borderId="8"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8E1"/>
      <rgbColor rgb="FFFF00FF"/>
      <rgbColor rgb="FF00FFFF"/>
      <rgbColor rgb="FF800000"/>
      <rgbColor rgb="FF008000"/>
      <rgbColor rgb="FF000080"/>
      <rgbColor rgb="FF808000"/>
      <rgbColor rgb="FF800080"/>
      <rgbColor rgb="FF008080"/>
      <rgbColor rgb="FFBFC9CA"/>
      <rgbColor rgb="FF808080"/>
      <rgbColor rgb="FFEDEDED"/>
      <rgbColor rgb="FF993366"/>
      <rgbColor rgb="FFFFF8DC"/>
      <rgbColor rgb="FFEDF7FF"/>
      <rgbColor rgb="FF660066"/>
      <rgbColor rgb="FFF7FBFF"/>
      <rgbColor rgb="FF1155CC"/>
      <rgbColor rgb="FFD9D2E9"/>
      <rgbColor rgb="FF000080"/>
      <rgbColor rgb="FFFF00FF"/>
      <rgbColor rgb="FFE2EFDA"/>
      <rgbColor rgb="FF00FFFF"/>
      <rgbColor rgb="FF800080"/>
      <rgbColor rgb="FF800000"/>
      <rgbColor rgb="FF008080"/>
      <rgbColor rgb="FF0000FF"/>
      <rgbColor rgb="FF00CCFF"/>
      <rgbColor rgb="FFE8F0F8"/>
      <rgbColor rgb="FFD9EAD3"/>
      <rgbColor rgb="FFFFF2CC"/>
      <rgbColor rgb="FFD6E4F7"/>
      <rgbColor rgb="FFEAD1DC"/>
      <rgbColor rgb="FFFCE4D6"/>
      <rgbColor rgb="FFF4CCCC"/>
      <rgbColor rgb="FF2E75B6"/>
      <rgbColor rgb="FF33CCCC"/>
      <rgbColor rgb="FF99CC00"/>
      <rgbColor rgb="FFFFF9E6"/>
      <rgbColor rgb="FFFF9900"/>
      <rgbColor rgb="FFFF6600"/>
      <rgbColor rgb="FF555555"/>
      <rgbColor rgb="FFF0F4F8"/>
      <rgbColor rgb="FF1F3864"/>
      <rgbColor rgb="FF339966"/>
      <rgbColor rgb="FF003300"/>
      <rgbColor rgb="FF444444"/>
      <rgbColor rgb="FF8855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7"/>
  <sheetViews>
    <sheetView showGridLines="0" tabSelected="1" topLeftCell="B1" zoomScale="85" zoomScaleNormal="85" workbookViewId="0">
      <pane ySplit="7" topLeftCell="A8" activePane="bottomLeft" state="frozen"/>
      <selection pane="bottomLeft" activeCell="K45" sqref="K45"/>
    </sheetView>
  </sheetViews>
  <sheetFormatPr baseColWidth="8" defaultColWidth="8.6640625" defaultRowHeight="14.4"/>
  <cols>
    <col width="5" customWidth="1" min="1" max="1"/>
    <col width="18" customWidth="1" min="2" max="2"/>
    <col width="20" customWidth="1" min="3" max="3"/>
    <col width="32" customWidth="1" min="4" max="4"/>
    <col width="22" customWidth="1" min="5" max="5"/>
    <col width="6" customWidth="1" min="6" max="6"/>
    <col width="18" customWidth="1" min="7" max="7"/>
    <col width="52" customWidth="1" min="8" max="8"/>
    <col width="14" customWidth="1" min="9" max="10"/>
    <col width="13" customWidth="1" min="11" max="11"/>
    <col width="28" customWidth="1" min="12" max="12"/>
  </cols>
  <sheetData>
    <row r="1" ht="30" customHeight="1">
      <c r="A1" s="12" t="inlineStr">
        <is>
          <t>SOLAR PANEL–BASED BATTERY ENERGY MANAGEMENT SYSTEM</t>
        </is>
      </c>
    </row>
    <row r="2" ht="19.5" customHeight="1">
      <c r="A2" s="11" t="inlineStr">
        <is>
          <t>Bill of Materials (BOM)  —  Implementation Phase  |  Istanbul Arel University · EEE Dept.</t>
        </is>
      </c>
    </row>
    <row r="3" ht="18" customHeight="1">
      <c r="A3" s="10" t="inlineStr">
        <is>
          <t>Student: Ahmed Salama</t>
        </is>
      </c>
      <c r="G3" s="9" t="inlineStr">
        <is>
          <t>Prices to be filled in after purchase  ▶  Unit Price column is editable (yellow)</t>
        </is>
      </c>
    </row>
    <row r="4" ht="6" customHeight="1">
      <c r="A4" s="8" t="n"/>
    </row>
    <row r="5" ht="15.75" customHeight="1">
      <c r="A5" s="7" t="inlineStr">
        <is>
          <t xml:space="preserve">   Category colour legend:   ICs / Active       Inductors       Diodes       Capacitors       Resistors       Modules / Connectors / Misc</t>
        </is>
      </c>
    </row>
    <row r="6" ht="6" customHeight="1">
      <c r="A6" s="8" t="n"/>
    </row>
    <row r="7" ht="31.5" customHeight="1">
      <c r="A7" s="13" t="inlineStr">
        <is>
          <t>#</t>
        </is>
      </c>
      <c r="B7" s="13" t="inlineStr">
        <is>
          <t>Reference(s)</t>
        </is>
      </c>
      <c r="C7" s="13" t="inlineStr">
        <is>
          <t>Category</t>
        </is>
      </c>
      <c r="D7" s="13" t="inlineStr">
        <is>
          <t>Description</t>
        </is>
      </c>
      <c r="E7" s="13" t="inlineStr">
        <is>
          <t>Value / Specification</t>
        </is>
      </c>
      <c r="F7" s="13" t="inlineStr">
        <is>
          <t>Qty</t>
        </is>
      </c>
      <c r="G7" s="13" t="inlineStr">
        <is>
          <t>Package / Form</t>
        </is>
      </c>
      <c r="H7" s="13" t="inlineStr">
        <is>
          <t>Notes — Values &amp; Purpose</t>
        </is>
      </c>
      <c r="I7" s="13" t="inlineStr">
        <is>
          <t>Unit Price</t>
        </is>
      </c>
      <c r="J7" s="13" t="inlineStr">
        <is>
          <t>Total Price</t>
        </is>
      </c>
      <c r="K7" s="13" t="inlineStr">
        <is>
          <t>Procured?</t>
        </is>
      </c>
      <c r="L7" s="13" t="inlineStr">
        <is>
          <t>Supplier / Link</t>
        </is>
      </c>
    </row>
    <row r="8" ht="106.5" customHeight="1">
      <c r="A8" s="14" t="n">
        <v>1</v>
      </c>
      <c r="B8" s="15" t="inlineStr">
        <is>
          <t>U1</t>
        </is>
      </c>
      <c r="C8" s="15" t="inlineStr">
        <is>
          <t>ICs / Active</t>
        </is>
      </c>
      <c r="D8" s="16" t="inlineStr">
        <is>
          <t>INA219 Power Monitor</t>
        </is>
      </c>
      <c r="E8" s="16" t="inlineStr">
        <is>
          <t>INA219AIDR, I2C, 26V</t>
        </is>
      </c>
      <c r="F8" s="17" t="n">
        <v>1</v>
      </c>
      <c r="G8" s="16" t="inlineStr">
        <is>
          <t>SOT-23-8 or breakout module</t>
        </is>
      </c>
      <c r="H8" s="16" t="inlineStr">
        <is>
          <t>Measures V_PV and I_PV via 0.1Ω shunt. I2C address 0x40 (A0=GND, A1=GND). VCC = 3.3–5.5V. Pin map on schematic: VCC, GND, IN+, IN−, SDA, SCL, A0, A1. If buying breakout module (e.g. Adafruit or generic blue module), all support components (decoupling cap, pull-ups) may already be included — check before ordering extras.</t>
        </is>
      </c>
      <c r="I8" s="18" t="n">
        <v>100</v>
      </c>
      <c r="J8" s="19">
        <f>IF(I8="","",I8*F8)</f>
        <v/>
      </c>
      <c r="K8" s="20" t="inlineStr">
        <is>
          <t>Yes</t>
        </is>
      </c>
      <c r="L8" s="21" t="n"/>
    </row>
    <row r="9" ht="97.5" customHeight="1">
      <c r="A9" s="14" t="n">
        <v>2</v>
      </c>
      <c r="B9" s="15" t="inlineStr">
        <is>
          <t>U2</t>
        </is>
      </c>
      <c r="C9" s="15" t="inlineStr">
        <is>
          <t>ICs / Active</t>
        </is>
      </c>
      <c r="D9" s="22" t="inlineStr">
        <is>
          <t>XL4015 CC/CV Buck Converter</t>
        </is>
      </c>
      <c r="E9" s="22" t="inlineStr">
        <is>
          <t>XL4015, 5A, 8–36V in, 180kHz</t>
        </is>
      </c>
      <c r="F9" s="23" t="n">
        <v>1</v>
      </c>
      <c r="G9" s="22" t="inlineStr">
        <is>
          <t>Module (3-screw CV+CC) or SOP-8 IC</t>
        </is>
      </c>
      <c r="H9" s="22" t="inlineStr">
        <is>
          <t>Charges 3S Li-ion pack. Steps ~20.8V PV (Vmp) down to 12.6V. 3-screw module version has separate CV trim pot and CC trim pot — easiest for prototyping. Pre-set: Output V to 12.60V (CV threshold), Current limit to ~1.2A (CC). EN pin controlled by Arduino pin 9 PWM for MPPT. Heatsink required if &gt;2A sustained.</t>
        </is>
      </c>
      <c r="I9" s="18" t="n">
        <v>100</v>
      </c>
      <c r="J9" s="19">
        <f>IF(I9="","",I9*F9)</f>
        <v/>
      </c>
      <c r="K9" s="20" t="inlineStr">
        <is>
          <t>Yes</t>
        </is>
      </c>
      <c r="L9" s="21" t="n"/>
    </row>
    <row r="10" ht="81.75" customHeight="1">
      <c r="A10" s="14" t="n">
        <v>3</v>
      </c>
      <c r="B10" s="15" t="inlineStr">
        <is>
          <t>U4</t>
        </is>
      </c>
      <c r="C10" s="15" t="inlineStr">
        <is>
          <t>ICs / Active</t>
        </is>
      </c>
      <c r="D10" s="16" t="inlineStr">
        <is>
          <t>LM2596 Adjustable Buck Converter</t>
        </is>
      </c>
      <c r="E10" s="16" t="inlineStr">
        <is>
          <t>LM2596S-ADJ, 3A, 40V, 150kHz</t>
        </is>
      </c>
      <c r="F10" s="17" t="n">
        <v>1</v>
      </c>
      <c r="G10" s="16" t="inlineStr">
        <is>
          <t>Module or TO-263-5</t>
        </is>
      </c>
      <c r="H10" s="16" t="inlineStr">
        <is>
          <t>Provides regulated +5V_MCU rail for Arduino + all peripherals. Fed from V_BATT bus (10–12.6V). Set output to exactly 5.0V using R6/R7 feedback divider (R6=10kΩ, R7=3.3kΩ → V_out = 1.23×(1 + R6/R7) = 5.0V). ON/OFF pin tied to GND = always enabled.</t>
        </is>
      </c>
      <c r="I10" s="18" t="n">
        <v>55</v>
      </c>
      <c r="J10" s="19">
        <f>IF(I10="","",I10*F10)</f>
        <v/>
      </c>
      <c r="K10" s="20" t="inlineStr">
        <is>
          <t>No</t>
        </is>
      </c>
      <c r="L10" s="21" t="inlineStr">
        <is>
          <t>https://www.robotistan.com/mini-ayarlanabilir-3a-voltaj-regulator-karti-lm2596-adj?language=tr&amp;h=28cecc02</t>
        </is>
      </c>
    </row>
    <row r="11" ht="97.5" customHeight="1">
      <c r="A11" s="14" t="n">
        <v>4</v>
      </c>
      <c r="B11" s="15" t="inlineStr">
        <is>
          <t>Q1</t>
        </is>
      </c>
      <c r="C11" s="15" t="inlineStr">
        <is>
          <t>ICs / Active</t>
        </is>
      </c>
      <c r="D11" s="22" t="inlineStr">
        <is>
          <t>IRLZ44N Logic-Level N-MOSFET</t>
        </is>
      </c>
      <c r="E11" s="22" t="inlineStr">
        <is>
          <t>IRLZ44N, 55V, 47A, R_DS=22mΩ</t>
        </is>
      </c>
      <c r="F11" s="23" t="n">
        <v>1</v>
      </c>
      <c r="G11" s="22" t="inlineStr">
        <is>
          <t>TO-220</t>
        </is>
      </c>
      <c r="H11" s="22" t="inlineStr">
        <is>
          <t>Electronic load switch. Gate driven by Arduino pin 8 via 100Ω series resistor R10 and 10kΩ pull-down R11. VGS(th) = 1–2V → fully ON at 5V logic drive. Drain: V_BATT bus in; Source: to load (J3). Add heatsink if fan current &gt; 2A. D4 flyback diode across drain-source is mandatory for inductive loads.</t>
        </is>
      </c>
      <c r="I11" s="18" t="n">
        <v>35</v>
      </c>
      <c r="J11" s="19">
        <f>IF(I11="","",I11*F11)</f>
        <v/>
      </c>
      <c r="K11" s="20" t="inlineStr">
        <is>
          <t>No</t>
        </is>
      </c>
      <c r="L11" s="21" t="inlineStr">
        <is>
          <t>https://www.robolinkmarket.com/irfz44-49a-55v-mosfet-to220-mosfet?srsltid=AfmBOopWu0r8dTQHLh93zBp8QYAFzfOsZebhZGSX_jcCP7LiNwHjvb8bbyU</t>
        </is>
      </c>
    </row>
    <row r="12" ht="126.75" customHeight="1">
      <c r="A12" s="14" t="n">
        <v>5</v>
      </c>
      <c r="B12" s="15" t="inlineStr">
        <is>
          <t>ARD1</t>
        </is>
      </c>
      <c r="C12" s="15" t="inlineStr">
        <is>
          <t>ICs / Active</t>
        </is>
      </c>
      <c r="D12" s="16" t="inlineStr">
        <is>
          <t>Arduino Mega 2560</t>
        </is>
      </c>
      <c r="E12" s="16" t="inlineStr">
        <is>
          <t>ATmega2560, 16MHz, 5V</t>
        </is>
      </c>
      <c r="F12" s="17" t="n">
        <v>1</v>
      </c>
      <c r="G12" s="16" t="inlineStr">
        <is>
          <t>Through-hole dev board</t>
        </is>
      </c>
      <c r="H12" s="16" t="inlineStr">
        <is>
          <t>Central controller. Runs: P&amp;O MPPT (reads INA219 via I2C on pins 20/21 SDA/SCL, outputs PWM on pin 9 to XL4015 EN); battery CC/CV logic; LVD load switching (pin 8→Q1.Gate); temp monitoring (pin 2, 1-Wire DS18B20); OLED update loop (I2C on pins 20/21 to SSD1306 address 0x3C). Powered from LM2596 +5V rail via VIN pin. Required libraries: Wire.h, Adafruit_INA219, Adafruit_SSD1306, OneWire, DallasTemperature.</t>
        </is>
      </c>
      <c r="I12" s="18" t="n">
        <v>200</v>
      </c>
      <c r="J12" s="19">
        <f>IF(I12="","",I12*F12)</f>
        <v/>
      </c>
      <c r="K12" s="20" t="inlineStr">
        <is>
          <t>No</t>
        </is>
      </c>
      <c r="L12" s="21" t="n"/>
    </row>
    <row r="13" ht="126" customHeight="1">
      <c r="A13" s="24" t="n">
        <v>6</v>
      </c>
      <c r="B13" s="25" t="inlineStr">
        <is>
          <t>BMS1</t>
        </is>
      </c>
      <c r="C13" s="25" t="inlineStr">
        <is>
          <t>Modules</t>
        </is>
      </c>
      <c r="D13" s="22" t="inlineStr">
        <is>
          <t>XR-121 3S 20A Li-ion BMS Module</t>
        </is>
      </c>
      <c r="E13" s="22" t="inlineStr">
        <is>
          <t>3S, 20A cont., 4.2V/cell OVP</t>
        </is>
      </c>
      <c r="F13" s="23" t="n">
        <v>1</v>
      </c>
      <c r="G13" s="22" t="inlineStr">
        <is>
          <t>PCB module (≈35×7mm typical)</t>
        </is>
      </c>
      <c r="H13" s="22" t="inlineStr">
        <is>
          <t>Cell-level protection for 3-cell series 18650 pack. Connections: B+ (pack positive), B− (pack negative), C1 (tap cell1/2 junction), C2 (tap cell2/3 junction). Output: P+ and P− — ALL system power flows through here. Protects against: overcharge (4.25V/cell cutoff), overdischarge (2.5V/cell), overcurrent (20A), short circuit. Performs passive cell balancing. Do NOT bypass P+/P−.</t>
        </is>
      </c>
      <c r="I13" s="18" t="n">
        <v>70</v>
      </c>
      <c r="J13" s="19">
        <f>IF(I13="","",I13*F13)</f>
        <v/>
      </c>
      <c r="K13" s="20" t="inlineStr">
        <is>
          <t>Yes</t>
        </is>
      </c>
      <c r="L13" s="21" t="n"/>
    </row>
    <row r="14" ht="114" customHeight="1">
      <c r="A14" s="24" t="n">
        <v>7</v>
      </c>
      <c r="B14" s="25" t="inlineStr">
        <is>
          <t>SSD1</t>
        </is>
      </c>
      <c r="C14" s="25" t="inlineStr">
        <is>
          <t>Modules</t>
        </is>
      </c>
      <c r="D14" s="16" t="inlineStr">
        <is>
          <t>OLED Display Module 0.96″</t>
        </is>
      </c>
      <c r="E14" s="16" t="inlineStr">
        <is>
          <t>SSD1306, 128×64px, I2C</t>
        </is>
      </c>
      <c r="F14" s="17" t="n">
        <v>1</v>
      </c>
      <c r="G14" s="16" t="inlineStr">
        <is>
          <t>Module with 4-pin header</t>
        </is>
      </c>
      <c r="H14" s="16" t="inlineStr">
        <is>
          <t>Real-time monitoring display. I2C address 0x3C (default — verify on module PCB). VCC = 3.3–5V from +5V_MCU rail. Shares I2C bus with INA219 (address 0x40). Displays: V_PV, I_PV, P_PV, V_BAT, Temp°C, System Mode label (CHARGING / FULL / LOAD OFF / FAULT). Do NOT add extra I2C pull-up resistors here — R1 &amp; R2 (B2 block) already pull up the bus.</t>
        </is>
      </c>
      <c r="I14" s="18" t="n">
        <v>200</v>
      </c>
      <c r="J14" s="19">
        <f>IF(I14="","",I14*F14)</f>
        <v/>
      </c>
      <c r="K14" s="20" t="inlineStr">
        <is>
          <t>No</t>
        </is>
      </c>
      <c r="L14" s="21" t="n"/>
    </row>
    <row r="15" ht="117" customHeight="1">
      <c r="A15" s="24" t="n">
        <v>8</v>
      </c>
      <c r="B15" s="25" t="inlineStr">
        <is>
          <t>BT1–BT3</t>
        </is>
      </c>
      <c r="C15" s="25" t="inlineStr">
        <is>
          <t>Battery / Storage</t>
        </is>
      </c>
      <c r="D15" s="22" t="inlineStr">
        <is>
          <t>18650 Li-ion Cells (×3)</t>
        </is>
      </c>
      <c r="E15" s="22" t="inlineStr">
        <is>
          <t>3.7V nominal, ≥2000mAh, flat-top</t>
        </is>
      </c>
      <c r="F15" s="23" t="n">
        <v>3</v>
      </c>
      <c r="G15" s="22" t="inlineStr">
        <is>
          <t>18650 cylindrical</t>
        </is>
      </c>
      <c r="H15" s="22" t="inlineStr">
        <is>
          <t>Three cells in series (3S) = 11.1V nominal, 12.6V fully charged. Use flat-top (unprotected) cells — the BMS module provides protection. Recommended brands: Samsung 25R, LG HG2, Molicel P26A, or equivalent quality cells. Do NOT use cheap no-brand cells — capacity and safety not guaranteed. Weld or use holder — never solder directly to cell terminals.</t>
        </is>
      </c>
      <c r="I15" s="18" t="n">
        <v>70</v>
      </c>
      <c r="J15" s="19">
        <f>IF(I15="","",I15*F15)</f>
        <v/>
      </c>
      <c r="K15" s="20" t="inlineStr">
        <is>
          <t>Yes</t>
        </is>
      </c>
      <c r="L15" s="21" t="n"/>
    </row>
    <row r="16" ht="91.5" customHeight="1">
      <c r="A16" s="24" t="n">
        <v>9</v>
      </c>
      <c r="B16" s="25" t="inlineStr">
        <is>
          <t>BH1</t>
        </is>
      </c>
      <c r="C16" s="25" t="inlineStr">
        <is>
          <t>Battery / Storage</t>
        </is>
      </c>
      <c r="D16" s="16" t="inlineStr">
        <is>
          <t>3S 18650 Battery Holder</t>
        </is>
      </c>
      <c r="E16" s="16" t="inlineStr">
        <is>
          <t>3-cell series, spring contacts</t>
        </is>
      </c>
      <c r="F16" s="17" t="n">
        <v>1</v>
      </c>
      <c r="G16" s="16" t="inlineStr">
        <is>
          <t>3×18650 plastic holder</t>
        </is>
      </c>
      <c r="H16" s="16" t="inlineStr">
        <is>
          <t>Holds three 18650 cells in series configuration (3S). Must have solder tabs or wire leads for B+, B−, and cell tap points (C1, C2) for BMS balancing. If holder has no tap wires, add tap point leads manually between cells. Secure holder to chassis/PCB with M3 screws or adhesive.</t>
        </is>
      </c>
      <c r="I16" s="18" t="n">
        <v>30</v>
      </c>
      <c r="J16" s="19">
        <f>IF(I16="","",I16*F16)</f>
        <v/>
      </c>
      <c r="K16" s="20" t="inlineStr">
        <is>
          <t>Yes</t>
        </is>
      </c>
      <c r="L16" s="21" t="n"/>
    </row>
    <row r="17" ht="91.5" customHeight="1">
      <c r="A17" s="26" t="n">
        <v>10</v>
      </c>
      <c r="B17" s="27" t="inlineStr">
        <is>
          <t>L1</t>
        </is>
      </c>
      <c r="C17" s="27" t="inlineStr">
        <is>
          <t>Inductors</t>
        </is>
      </c>
      <c r="D17" s="22" t="inlineStr">
        <is>
          <t>Power Inductor — XL4015 Charger</t>
        </is>
      </c>
      <c r="E17" s="22" t="inlineStr">
        <is>
          <t>68µH, ≥5A DC rated, low DCR</t>
        </is>
      </c>
      <c r="F17" s="23" t="n">
        <v>1</v>
      </c>
      <c r="G17" s="22" t="inlineStr">
        <is>
          <t>CDRH127 or similar (SMD) / Radial</t>
        </is>
      </c>
      <c r="H17" s="22" t="inlineStr">
        <is>
          <t>Sits on XL4015 SW (switching) node — CRITICAL layout node. Trace from SW pin → L1 → output must be as short and wide as possible. Low DCR (DC resistance) essential for efficiency — aim &lt;0.15Ω. Example parts: Bourns SRR1260-680M, TDK SLF12565T-680M4R7-PF, or equivalent 68µH/5A.</t>
        </is>
      </c>
      <c r="I17" s="18" t="n">
        <v>15</v>
      </c>
      <c r="J17" s="19">
        <f>IF(I17="","",I17*F17)</f>
        <v/>
      </c>
      <c r="K17" s="20" t="inlineStr">
        <is>
          <t>No</t>
        </is>
      </c>
      <c r="L17" s="21" t="n"/>
    </row>
    <row r="18" ht="64.5" customHeight="1">
      <c r="A18" s="26" t="n">
        <v>11</v>
      </c>
      <c r="B18" s="27" t="inlineStr">
        <is>
          <t>L2</t>
        </is>
      </c>
      <c r="C18" s="27" t="inlineStr">
        <is>
          <t>Inductors</t>
        </is>
      </c>
      <c r="D18" s="16" t="inlineStr">
        <is>
          <t>Power Inductor — LM2596 5V Supply</t>
        </is>
      </c>
      <c r="E18" s="16" t="inlineStr">
        <is>
          <t>68µH, ≥3A DC rated</t>
        </is>
      </c>
      <c r="F18" s="17" t="n">
        <v>1</v>
      </c>
      <c r="G18" s="16" t="inlineStr">
        <is>
          <t>CDRH127 or radial through-hole</t>
        </is>
      </c>
      <c r="H18" s="16" t="inlineStr">
        <is>
          <t>Sits on LM2596 OUT (switching) node. Same layout rules as L1. 3A rating matches LM2596 maximum output current. Example parts: Bourns SRR1260-680M (same part as L1), or any 68µH/3A power inductor.</t>
        </is>
      </c>
      <c r="I18" s="18" t="n">
        <v>15</v>
      </c>
      <c r="J18" s="19">
        <f>IF(I18="","",I18*F18)</f>
        <v/>
      </c>
      <c r="K18" s="20" t="inlineStr">
        <is>
          <t>No</t>
        </is>
      </c>
      <c r="L18" s="21" t="n"/>
    </row>
    <row r="19" ht="84" customHeight="1">
      <c r="A19" s="28" t="n">
        <v>12</v>
      </c>
      <c r="B19" s="29" t="inlineStr">
        <is>
          <t>D1</t>
        </is>
      </c>
      <c r="C19" s="29" t="inlineStr">
        <is>
          <t>Diodes</t>
        </is>
      </c>
      <c r="D19" s="22" t="inlineStr">
        <is>
          <t>Schottky Diode — Reverse Polarity Protection</t>
        </is>
      </c>
      <c r="E19" s="22" t="inlineStr">
        <is>
          <t>1N5822, 40V, 3A</t>
        </is>
      </c>
      <c r="F19" s="23" t="n">
        <v>1</v>
      </c>
      <c r="G19" s="22" t="inlineStr">
        <is>
          <t>DO-201AD (axial)</t>
        </is>
      </c>
      <c r="H19" s="22" t="inlineStr">
        <is>
          <t>Reverse polarity protection on +V_PV rail after fuse F1. Anode: from fuse F1 OUT. Cathode: to +V_PV rail. Schottky chosen for low Vf (~0.32V) to minimize power dissipation. Alternative: SB340, SS34 (SMD). Do NOT use 1N4001–1N4007 (1V Vf = too much loss).</t>
        </is>
      </c>
      <c r="I19" s="18" t="n">
        <v>15</v>
      </c>
      <c r="J19" s="19">
        <f>IF(I19="","",I19*F19)</f>
        <v/>
      </c>
      <c r="K19" s="20" t="inlineStr">
        <is>
          <t>No</t>
        </is>
      </c>
      <c r="L19" s="21" t="n"/>
    </row>
    <row r="20" ht="100.5" customHeight="1">
      <c r="A20" s="28" t="n">
        <v>13</v>
      </c>
      <c r="B20" s="29" t="inlineStr">
        <is>
          <t>D2</t>
        </is>
      </c>
      <c r="C20" s="29" t="inlineStr">
        <is>
          <t>Diodes</t>
        </is>
      </c>
      <c r="D20" s="16" t="inlineStr">
        <is>
          <t>Schottky Diode — XL4015 Freewheeling (Catch)</t>
        </is>
      </c>
      <c r="E20" s="16" t="inlineStr">
        <is>
          <t>SS54, 40V, 5A</t>
        </is>
      </c>
      <c r="F20" s="17" t="n">
        <v>1</v>
      </c>
      <c r="G20" s="16" t="inlineStr">
        <is>
          <t>DO-214AB (SMA) or SB540</t>
        </is>
      </c>
      <c r="H20" s="16" t="inlineStr">
        <is>
          <t>Catch diode on XL4015 SW node. Cathode → SW pin; Anode → GND (PGND). MUST be Schottky — a 1N4007 would fail at 180kHz switching frequency due to slow reverse recovery. 5A rating matches XL4015 maximum switch current. Place as close to XL4015 SW and GND pins as physically possible to minimize loop area.</t>
        </is>
      </c>
      <c r="I20" s="18" t="n">
        <v>15</v>
      </c>
      <c r="J20" s="19">
        <f>IF(I20="","",I20*F20)</f>
        <v/>
      </c>
      <c r="K20" s="20" t="inlineStr">
        <is>
          <t>No</t>
        </is>
      </c>
      <c r="L20" s="21" t="n"/>
    </row>
    <row r="21" ht="60" customHeight="1">
      <c r="A21" s="28" t="n">
        <v>14</v>
      </c>
      <c r="B21" s="29" t="inlineStr">
        <is>
          <t>D3</t>
        </is>
      </c>
      <c r="C21" s="29" t="inlineStr">
        <is>
          <t>Diodes</t>
        </is>
      </c>
      <c r="D21" s="22" t="inlineStr">
        <is>
          <t>Schottky Diode — LM2596 Freewheeling</t>
        </is>
      </c>
      <c r="E21" s="22" t="inlineStr">
        <is>
          <t>1N5822, 40V, 3A</t>
        </is>
      </c>
      <c r="F21" s="23" t="n">
        <v>1</v>
      </c>
      <c r="G21" s="22" t="inlineStr">
        <is>
          <t>DO-201AD (axial) or SB340</t>
        </is>
      </c>
      <c r="H21" s="22" t="inlineStr">
        <is>
          <t>Freewheeling/catch diode on LM2596 OUT (switching) node. Same principle as D2. Cathode → LM2596 OUT pin; Anode → GND. Can use same part number as D1 (1N5822) for BOM consolidation.</t>
        </is>
      </c>
      <c r="I21" s="18" t="n">
        <v>15</v>
      </c>
      <c r="J21" s="19">
        <f>IF(I21="","",I21*F21)</f>
        <v/>
      </c>
      <c r="K21" s="20" t="inlineStr">
        <is>
          <t>No</t>
        </is>
      </c>
      <c r="L21" s="21" t="n"/>
    </row>
    <row r="22" ht="96" customHeight="1">
      <c r="A22" s="28" t="n">
        <v>15</v>
      </c>
      <c r="B22" s="29" t="inlineStr">
        <is>
          <t>D4</t>
        </is>
      </c>
      <c r="C22" s="29" t="inlineStr">
        <is>
          <t>Diodes</t>
        </is>
      </c>
      <c r="D22" s="16" t="inlineStr">
        <is>
          <t>Rectifier Diode — MOSFET Flyback</t>
        </is>
      </c>
      <c r="E22" s="16" t="inlineStr">
        <is>
          <t>1N4007, 1000V, 1A</t>
        </is>
      </c>
      <c r="F22" s="17" t="n">
        <v>1</v>
      </c>
      <c r="G22" s="16" t="inlineStr">
        <is>
          <t>DO-41 (axial)</t>
        </is>
      </c>
      <c r="H22" s="16" t="inlineStr">
        <is>
          <t>Flyback/freewheeling diode across Q1 (IRLZ44N) drain-source. Cathode → Q1 Drain (V_BATT side); Anode → Q1 Source (GND side). Protects MOSFET from inductive kick when 12V DC fan motor is switched OFF. 1N4007 acceptable here — switching is slow (LVD events), so reverse recovery not critical.</t>
        </is>
      </c>
      <c r="I22" s="18" t="n">
        <v>40</v>
      </c>
      <c r="J22" s="19">
        <f>IF(I22="","",I22*F22)</f>
        <v/>
      </c>
      <c r="K22" s="20" t="inlineStr">
        <is>
          <t>No</t>
        </is>
      </c>
      <c r="L22" s="21" t="n"/>
    </row>
    <row r="23" ht="88.5" customHeight="1">
      <c r="A23" s="28" t="n">
        <v>16</v>
      </c>
      <c r="B23" s="29" t="inlineStr">
        <is>
          <t>TVS1</t>
        </is>
      </c>
      <c r="C23" s="29" t="inlineStr">
        <is>
          <t>Diodes</t>
        </is>
      </c>
      <c r="D23" s="22" t="inlineStr">
        <is>
          <t>TVS Diode — PV Surge Clamp</t>
        </is>
      </c>
      <c r="E23" s="22" t="inlineStr">
        <is>
          <t>P6KE24A, 24V clamp, 600W peak</t>
        </is>
      </c>
      <c r="F23" s="23" t="n">
        <v>1</v>
      </c>
      <c r="G23" s="22" t="inlineStr">
        <is>
          <t>DO-204AC (axial)</t>
        </is>
      </c>
      <c r="H23" s="22" t="inlineStr">
        <is>
          <t>Transient voltage suppressor across +V_PV bus. Cathode → +V_PV rail; Anode → GND. Clamps voltage spikes from long PV panel wiring inductance to 24V. Protects XL4015 VIN pin and INA219 IN+ from transient overvoltage. Bidirectional TVS (e.g. 1.5KE24CA) also acceptable.</t>
        </is>
      </c>
      <c r="I23" s="18" t="n">
        <v>20</v>
      </c>
      <c r="J23" s="19">
        <f>IF(I23="","",I23*F23)</f>
        <v/>
      </c>
      <c r="K23" s="20" t="inlineStr">
        <is>
          <t>No</t>
        </is>
      </c>
      <c r="L23" s="21" t="n"/>
    </row>
    <row r="24" ht="111" customHeight="1">
      <c r="A24" s="30" t="n">
        <v>17</v>
      </c>
      <c r="B24" s="31" t="inlineStr">
        <is>
          <t>C1, C6, C8</t>
        </is>
      </c>
      <c r="C24" s="31" t="inlineStr">
        <is>
          <t>Capacitors — Electrolytic</t>
        </is>
      </c>
      <c r="D24" s="16" t="inlineStr">
        <is>
          <t>Electrolytic Cap — 470µF / 35V or 25V</t>
        </is>
      </c>
      <c r="E24" s="16" t="inlineStr">
        <is>
          <t>470µF, 35V (C1) / 25V (C6, C8)</t>
        </is>
      </c>
      <c r="F24" s="17" t="n">
        <v>3</v>
      </c>
      <c r="G24" s="16" t="inlineStr">
        <is>
          <t>Radial, 10mm dia. typical</t>
        </is>
      </c>
      <c r="H24" s="16" t="inlineStr">
        <is>
          <t>C1 (470µF/35V): bulk cap on +V_PV rail after reverse-polarity diode D1. C6 (470µF/25V): output cap on XL4015 charger output (CHGR_OUT → battery). C8 (470µF/25V): bulk cap on V_BATT bus (BMS P+ output). Use low-ESR 105°C rated caps throughout for reliability. Voltage ratings must exceed max voltage on each respective net with margin.</t>
        </is>
      </c>
      <c r="I24" s="18" t="n">
        <v>50</v>
      </c>
      <c r="J24" s="19">
        <f>IF(I24="","",I24*F24)</f>
        <v/>
      </c>
      <c r="K24" s="20" t="inlineStr">
        <is>
          <t>No</t>
        </is>
      </c>
      <c r="L24" s="21" t="n"/>
    </row>
    <row r="25" ht="60" customHeight="1">
      <c r="A25" s="30" t="n">
        <v>18</v>
      </c>
      <c r="B25" s="31" t="inlineStr">
        <is>
          <t>C10, C15</t>
        </is>
      </c>
      <c r="C25" s="31" t="inlineStr">
        <is>
          <t>Capacitors — Electrolytic</t>
        </is>
      </c>
      <c r="D25" s="22" t="inlineStr">
        <is>
          <t>Electrolytic Cap — 100µF / 25V</t>
        </is>
      </c>
      <c r="E25" s="22" t="inlineStr">
        <is>
          <t>100µF, 25V</t>
        </is>
      </c>
      <c r="F25" s="23" t="n">
        <v>2</v>
      </c>
      <c r="G25" s="22" t="inlineStr">
        <is>
          <t>Radial, 6.3–8mm dia.</t>
        </is>
      </c>
      <c r="H25" s="22" t="inlineStr">
        <is>
          <t>C10: input cap on LM2596 VIN from V_BATT bus. C15: output cap at load terminal J3 — handles DC fan motor startup inrush current. Low-ESR 105°C rated.</t>
        </is>
      </c>
      <c r="I25" s="18" t="n">
        <v>30</v>
      </c>
      <c r="J25" s="19">
        <f>IF(I25="","",I25*F25)</f>
        <v/>
      </c>
      <c r="K25" s="20" t="inlineStr">
        <is>
          <t>No</t>
        </is>
      </c>
      <c r="L25" s="21" t="n"/>
    </row>
    <row r="26" ht="60" customHeight="1">
      <c r="A26" s="30" t="n">
        <v>19</v>
      </c>
      <c r="B26" s="31" t="inlineStr">
        <is>
          <t>C12</t>
        </is>
      </c>
      <c r="C26" s="31" t="inlineStr">
        <is>
          <t>Capacitors — Electrolytic</t>
        </is>
      </c>
      <c r="D26" s="16" t="inlineStr">
        <is>
          <t>Electrolytic Cap — 220µF / 16V</t>
        </is>
      </c>
      <c r="E26" s="16" t="inlineStr">
        <is>
          <t>220µF, 16V</t>
        </is>
      </c>
      <c r="F26" s="17" t="n">
        <v>1</v>
      </c>
      <c r="G26" s="16" t="inlineStr">
        <is>
          <t>Radial</t>
        </is>
      </c>
      <c r="H26" s="16" t="inlineStr">
        <is>
          <t>C12: output filter cap on LM2596 +5V_MCU rail. Low-ESR type important — high-ESR caps can cause LM2596 output voltage oscillation. 16V rating provides safe margin above 5V output.</t>
        </is>
      </c>
      <c r="I26" s="18" t="n">
        <v>20</v>
      </c>
      <c r="J26" s="19">
        <f>IF(I26="","",I26*F26)</f>
        <v/>
      </c>
      <c r="K26" s="20" t="inlineStr">
        <is>
          <t>No</t>
        </is>
      </c>
      <c r="L26" s="21" t="n"/>
    </row>
    <row r="27" ht="64.5" customHeight="1">
      <c r="A27" s="30" t="n">
        <v>20</v>
      </c>
      <c r="B27" s="31" t="inlineStr">
        <is>
          <t>C_MCU</t>
        </is>
      </c>
      <c r="C27" s="31" t="inlineStr">
        <is>
          <t>Capacitors — Electrolytic</t>
        </is>
      </c>
      <c r="D27" s="22" t="inlineStr">
        <is>
          <t>Electrolytic Cap — 100µF / 16V</t>
        </is>
      </c>
      <c r="E27" s="22" t="inlineStr">
        <is>
          <t>100µF, 16V</t>
        </is>
      </c>
      <c r="F27" s="23" t="n">
        <v>1</v>
      </c>
      <c r="G27" s="22" t="inlineStr">
        <is>
          <t>Radial</t>
        </is>
      </c>
      <c r="H27" s="22" t="inlineStr">
        <is>
          <t>Bulk decoupling cap on Arduino VIN pin. Absorbs supply transients during MCU burst activity and I2C communication spikes. Prevents 5V rail drooping under Arduino dynamic current draw (~40mA peaks).</t>
        </is>
      </c>
      <c r="I27" s="18" t="n">
        <v>15</v>
      </c>
      <c r="J27" s="19">
        <f>IF(I27="","",I27*F27)</f>
        <v/>
      </c>
      <c r="K27" s="20" t="inlineStr">
        <is>
          <t>No</t>
        </is>
      </c>
      <c r="L27" s="21" t="n"/>
    </row>
    <row r="28" ht="69.75" customHeight="1">
      <c r="A28" s="30" t="n">
        <v>21</v>
      </c>
      <c r="B28" s="31" t="inlineStr">
        <is>
          <t>C4</t>
        </is>
      </c>
      <c r="C28" s="31" t="inlineStr">
        <is>
          <t>Capacitors — Ceramic</t>
        </is>
      </c>
      <c r="D28" s="16" t="inlineStr">
        <is>
          <t>Ceramic Cap — 10µF / 50V X7R</t>
        </is>
      </c>
      <c r="E28" s="16" t="inlineStr">
        <is>
          <t>10µF, 50V, X7R dielectric</t>
        </is>
      </c>
      <c r="F28" s="17" t="n">
        <v>1</v>
      </c>
      <c r="G28" s="16" t="inlineStr">
        <is>
          <t>1210 SMD or radial through-hole</t>
        </is>
      </c>
      <c r="H28" s="16" t="inlineStr">
        <is>
          <t>C4: input cap at XL4015 VIN pin. Supply instantaneous switch turn-on current. X7R dielectric maintains capacitance over the PV voltage range (0–24.6V). MUST be placed within 2mm of XL4015 VIN and GND pins on PCB.</t>
        </is>
      </c>
      <c r="I28" s="18" t="n">
        <v>30</v>
      </c>
      <c r="J28" s="19">
        <f>IF(I28="","",I28*F28)</f>
        <v/>
      </c>
      <c r="K28" s="20" t="inlineStr">
        <is>
          <t>No</t>
        </is>
      </c>
      <c r="L28" s="21" t="n"/>
    </row>
    <row r="29" ht="147.75" customHeight="1">
      <c r="A29" s="30" t="n">
        <v>22</v>
      </c>
      <c r="B29" s="31" t="inlineStr">
        <is>
          <t>C2, C3, C5, C7, C9, C11, C13, C14, C16</t>
        </is>
      </c>
      <c r="C29" s="31" t="inlineStr">
        <is>
          <t>Capacitors — Ceramic</t>
        </is>
      </c>
      <c r="D29" s="22" t="inlineStr">
        <is>
          <t>Ceramic Cap — 100nF / 50V (×9)</t>
        </is>
      </c>
      <c r="E29" s="22" t="inlineStr">
        <is>
          <t>100nF (0.1µF), 50V, X7R or X5R</t>
        </is>
      </c>
      <c r="F29" s="23" t="n">
        <v>9</v>
      </c>
      <c r="G29" s="22" t="inlineStr">
        <is>
          <t>0805 SMD or radial 2.54mm</t>
        </is>
      </c>
      <c r="H29" s="22" t="inlineStr">
        <is>
          <t>High-frequency bypass/decoupling caps. One per IC VCC pin (minimum). C2: parallel with C1 on +V_PV. C3: INA219 VCC decoupling. C5: parallel with C4 on XL4015 VIN. C7: parallel with C6 on charger output. C9: DS18B20 VDD decoupling. C11: LM2596 VIN HF bypass. C13: LM2596 output HF bypass. C14: RC filter on V_BAT_ADC divider midpoint (with R8‖R9). C16: OLED SSD1306 VCC decoupling. Place each cap within 1–2mm of the IC pin it serves on the PCB.</t>
        </is>
      </c>
      <c r="I29" s="18" t="n">
        <v>22</v>
      </c>
      <c r="J29" s="19">
        <f>IF(I29="","",I29*F29)</f>
        <v/>
      </c>
      <c r="K29" s="20" t="inlineStr">
        <is>
          <t>No</t>
        </is>
      </c>
      <c r="L29" s="21" t="n"/>
    </row>
    <row r="30" ht="321" customHeight="1">
      <c r="A30" s="32" t="n">
        <v>23</v>
      </c>
      <c r="B30" s="33" t="inlineStr">
        <is>
          <t>R1–R11, R_LED</t>
        </is>
      </c>
      <c r="C30" s="33" t="inlineStr">
        <is>
          <t>Resistors</t>
        </is>
      </c>
      <c r="D30" s="16" t="inlineStr">
        <is>
          <t>Resistors (12 values — see notes)</t>
        </is>
      </c>
      <c r="E30" s="16" t="inlineStr">
        <is>
          <t>Various — 1% tolerance recommended</t>
        </is>
      </c>
      <c r="F30" s="17" t="n">
        <v>12</v>
      </c>
      <c r="G30" s="16" t="inlineStr">
        <is>
          <t>0805 SMD or axial 1/4W</t>
        </is>
      </c>
      <c r="H30" s="16" t="inlineStr">
        <is>
          <t>Full list of required values and functions:
• R1  4.7kΩ — I2C SDA pull-up to +5V (shared bus — only one set needed)
• R2  4.7kΩ — I2C SCL pull-up to +5V (shared bus)
• R3  91kΩ (or 100kΩ) — XL4015 FB upper divider resistor (sets V_out = 12.6V with R4=10kΩ)
• R4  10kΩ — XL4015 FB lower divider resistor
• R5  4.7kΩ — DS18B20 DQ line pull-up to +5V (1-Wire protocol — mandatory)
• R6  10kΩ — LM2596 FB upper divider (sets V_out = 5.0V with R7=3.3kΩ)
• R7  3.3kΩ — LM2596 FB lower divider
• R8  10kΩ — Battery voltage divider top (V_BATT → midpoint)
• R9  3.3kΩ — Battery voltage divider bottom (midpoint → GND); scales 12.6V → 3.13V for Arduino A0
• R10 100Ω — Q1 MOSFET gate series resistor (limits gate current, damps ringing)
• R11 10kΩ — Q1 gate pull-down to GND (ensures MOSFET is OFF when Arduino resets)
• R_LED 1kΩ — Current-limiting resistor for power indicator LED1
Tip: buy a resistor kit (600-piece assortment) — covers all values above and future needs.</t>
        </is>
      </c>
      <c r="I30" s="18" t="n">
        <v>7</v>
      </c>
      <c r="J30" s="19">
        <f>IF(I30="","",I30*F30)</f>
        <v/>
      </c>
      <c r="K30" s="20" t="inlineStr">
        <is>
          <t>Yes</t>
        </is>
      </c>
      <c r="L30" s="21" t="n"/>
    </row>
    <row r="31" ht="75" customHeight="1">
      <c r="A31" s="34" t="n">
        <v>24</v>
      </c>
      <c r="B31" s="35" t="inlineStr">
        <is>
          <t>J1</t>
        </is>
      </c>
      <c r="C31" s="35" t="inlineStr">
        <is>
          <t>Connectors</t>
        </is>
      </c>
      <c r="D31" s="22" t="inlineStr">
        <is>
          <t>PV Panel Input Screw Terminal</t>
        </is>
      </c>
      <c r="E31" s="22" t="inlineStr">
        <is>
          <t>2-pin, 5.08mm pitch, ≥5A rated</t>
        </is>
      </c>
      <c r="F31" s="23" t="n">
        <v>1</v>
      </c>
      <c r="G31" s="22" t="inlineStr">
        <is>
          <t>PCB screw terminal or wire-to-board</t>
        </is>
      </c>
      <c r="H31" s="22" t="inlineStr">
        <is>
          <t>Solar panel input connector. Pin 1: +PV (positive). Pin 2: GND. 5.08mm pitch (0.2") is standard for power screw terminals. Rate ≥5A for panel short-circuit current margin. Use green or blue terminal blocks (industry standard).</t>
        </is>
      </c>
      <c r="I31" s="18" t="n">
        <v>20</v>
      </c>
      <c r="J31" s="19">
        <f>IF(I31="","",I31*F31)</f>
        <v/>
      </c>
      <c r="K31" s="20" t="inlineStr">
        <is>
          <t>No</t>
        </is>
      </c>
      <c r="L31" s="21" t="n"/>
    </row>
    <row r="32" ht="85.5" customHeight="1">
      <c r="A32" s="34" t="n">
        <v>25</v>
      </c>
      <c r="B32" s="35" t="inlineStr">
        <is>
          <t>J2</t>
        </is>
      </c>
      <c r="C32" s="35" t="inlineStr">
        <is>
          <t>Connectors</t>
        </is>
      </c>
      <c r="D32" s="16" t="inlineStr">
        <is>
          <t>Battery Pack Connector</t>
        </is>
      </c>
      <c r="E32" s="16" t="inlineStr">
        <is>
          <t>4-pin JST-XH or screw terminal</t>
        </is>
      </c>
      <c r="F32" s="17" t="n">
        <v>1</v>
      </c>
      <c r="G32" s="16" t="inlineStr">
        <is>
          <t>JST-XH 2.54mm or 5.08mm screw</t>
        </is>
      </c>
      <c r="H32" s="16" t="inlineStr">
        <is>
          <t>Connects to 3S 18650 pack. 4 signals: B+, B−, C2 (cell tap 2/3), C1 (cell tap 1/2). B+/B− wires: 20AWG minimum (carry full charge/discharge current). C1/C2 wires: 26AWG acceptable (carry only BMS balancing µA). Label all 4 positions clearly on PCB silkscreen.</t>
        </is>
      </c>
      <c r="I32" s="18" t="n">
        <v>10</v>
      </c>
      <c r="J32" s="19">
        <f>IF(I32="","",I32*F32)</f>
        <v/>
      </c>
      <c r="K32" s="20" t="inlineStr">
        <is>
          <t>No</t>
        </is>
      </c>
      <c r="L32" s="21" t="n"/>
    </row>
    <row r="33" ht="60" customHeight="1">
      <c r="A33" s="34" t="n">
        <v>26</v>
      </c>
      <c r="B33" s="35" t="inlineStr">
        <is>
          <t>J3</t>
        </is>
      </c>
      <c r="C33" s="35" t="inlineStr">
        <is>
          <t>Connectors</t>
        </is>
      </c>
      <c r="D33" s="22" t="inlineStr">
        <is>
          <t>Load Output Screw Terminal</t>
        </is>
      </c>
      <c r="E33" s="22" t="inlineStr">
        <is>
          <t>2-pin, 5.08mm pitch, ≥5A rated</t>
        </is>
      </c>
      <c r="F33" s="23" t="n">
        <v>1</v>
      </c>
      <c r="G33" s="22" t="inlineStr">
        <is>
          <t>PCB screw terminal</t>
        </is>
      </c>
      <c r="H33" s="22" t="inlineStr">
        <is>
          <t>Output to 12V DC fan (or other load). (+): switched output from Q1 drain; (−): power GND. This sees full battery bus voltage when Q1 is ON. Wires minimum 20AWG.</t>
        </is>
      </c>
      <c r="I33" s="18" t="n">
        <v>20</v>
      </c>
      <c r="J33" s="19">
        <f>IF(I33="","",I33*F33)</f>
        <v/>
      </c>
      <c r="K33" s="20" t="inlineStr">
        <is>
          <t>No</t>
        </is>
      </c>
      <c r="L33" s="21" t="n"/>
    </row>
    <row r="34" ht="66" customHeight="1">
      <c r="A34" s="34" t="n">
        <v>27</v>
      </c>
      <c r="B34" s="35" t="inlineStr">
        <is>
          <t>J4</t>
        </is>
      </c>
      <c r="C34" s="35" t="inlineStr">
        <is>
          <t>Connectors</t>
        </is>
      </c>
      <c r="D34" s="16" t="inlineStr">
        <is>
          <t>OLED Display Connector</t>
        </is>
      </c>
      <c r="E34" s="16" t="inlineStr">
        <is>
          <t>4-pin 2.54mm header</t>
        </is>
      </c>
      <c r="F34" s="17" t="n">
        <v>1</v>
      </c>
      <c r="G34" s="16" t="inlineStr">
        <is>
          <t>Pin header (male or female)</t>
        </is>
      </c>
      <c r="H34" s="16" t="inlineStr">
        <is>
          <t>Connects SSD1306 OLED module. Pinout: VCC, GND, SDA, SCL. Match the pin order on your specific OLED module (not all modules have the same order!). Use female socket on PCB, male pins on OLED module.</t>
        </is>
      </c>
      <c r="I34" s="18" t="n">
        <v>40</v>
      </c>
      <c r="J34" s="19">
        <f>IF(I34="","",I34*F34)</f>
        <v/>
      </c>
      <c r="K34" s="20" t="inlineStr">
        <is>
          <t>No</t>
        </is>
      </c>
      <c r="L34" s="21" t="n"/>
    </row>
    <row r="35" ht="75" customHeight="1">
      <c r="A35" s="34" t="n">
        <v>28</v>
      </c>
      <c r="B35" s="35" t="inlineStr">
        <is>
          <t>J5</t>
        </is>
      </c>
      <c r="C35" s="35" t="inlineStr">
        <is>
          <t>Connectors</t>
        </is>
      </c>
      <c r="D35" s="22" t="inlineStr">
        <is>
          <t>ICSP Programming Header</t>
        </is>
      </c>
      <c r="E35" s="22" t="inlineStr">
        <is>
          <t>6-pin 2.54mm, 2×3 layout</t>
        </is>
      </c>
      <c r="F35" s="23" t="n">
        <v>1</v>
      </c>
      <c r="G35" s="22" t="inlineStr">
        <is>
          <t>Pin header 2×3</t>
        </is>
      </c>
      <c r="H35" s="22" t="inlineStr">
        <is>
          <t>Standard ICSP header for direct AVR firmware programming via USBasp or ArduinoISP. Pinout (standard): MISO, VCC, SCK, MOSI, RESET, GND. Use even if Arduino Mega 2560 is installed as main MCU — good practice for production/debugging.</t>
        </is>
      </c>
      <c r="I35" s="18" t="n">
        <v>45</v>
      </c>
      <c r="J35" s="19">
        <f>IF(I35="","",I35*F35)</f>
        <v/>
      </c>
      <c r="K35" s="20" t="inlineStr">
        <is>
          <t>Yes</t>
        </is>
      </c>
      <c r="L35" s="21" t="n"/>
    </row>
    <row r="36" ht="67.5" customHeight="1">
      <c r="A36" s="34" t="n">
        <v>29</v>
      </c>
      <c r="B36" s="35" t="inlineStr">
        <is>
          <t>J6</t>
        </is>
      </c>
      <c r="C36" s="35" t="inlineStr">
        <is>
          <t>Connectors</t>
        </is>
      </c>
      <c r="D36" s="16" t="inlineStr">
        <is>
          <t>UART Debug Header</t>
        </is>
      </c>
      <c r="E36" s="16" t="inlineStr">
        <is>
          <t>4-pin 2.54mm, 1×4 layout</t>
        </is>
      </c>
      <c r="F36" s="17" t="n">
        <v>1</v>
      </c>
      <c r="G36" s="16" t="inlineStr">
        <is>
          <t>Pin header 1×4</t>
        </is>
      </c>
      <c r="H36" s="16" t="inlineStr">
        <is>
          <t>Serial debug port. Pinout: TX, RX, VCC, GND. Connect a CH340G/CP2102/FTDI USB-UART module for Serial Monitor during firmware development. Arduino TX→adapter RX and Arduino RX→adapter TX (cross connection).</t>
        </is>
      </c>
      <c r="I36" s="18" t="n">
        <v>50</v>
      </c>
      <c r="J36" s="19">
        <f>IF(I36="","",I36*F36)</f>
        <v/>
      </c>
      <c r="K36" s="20" t="inlineStr">
        <is>
          <t>No</t>
        </is>
      </c>
      <c r="L36" s="21" t="n"/>
    </row>
    <row r="37" ht="120.75" customHeight="1">
      <c r="A37" s="36" t="n">
        <v>30</v>
      </c>
      <c r="B37" s="37" t="inlineStr">
        <is>
          <t>F1</t>
        </is>
      </c>
      <c r="C37" s="37" t="inlineStr">
        <is>
          <t>Mechanical / Safety</t>
        </is>
      </c>
      <c r="D37" s="22" t="inlineStr">
        <is>
          <t>Fuse — 5A + Fuse Holder</t>
        </is>
      </c>
      <c r="E37" s="22" t="inlineStr">
        <is>
          <t>5A, 250V, slow-blow or fast-blow</t>
        </is>
      </c>
      <c r="F37" s="23" t="n">
        <v>1</v>
      </c>
      <c r="G37" s="22" t="inlineStr">
        <is>
          <t>PCB fuse holder (5×20mm glass or blade)</t>
        </is>
      </c>
      <c r="H37" s="22" t="inlineStr">
        <is>
          <t>First line of overcurrent protection. In series on +V_PV positive rail immediately after J1. Breaks on sustained short circuit or overload protecting all downstream components. Use automotive blade holder or panel-mount holder for easy field replacement. 5A rating: PV panel max current ~1.38A (25Wp, Isc), so 5A provides protection headroom without nuisance tripping.</t>
        </is>
      </c>
      <c r="I37" s="18" t="n">
        <v>65</v>
      </c>
      <c r="J37" s="19">
        <f>IF(I37="","",I37*F37)</f>
        <v/>
      </c>
      <c r="K37" s="20" t="inlineStr">
        <is>
          <t>Yes</t>
        </is>
      </c>
      <c r="L37" s="21" t="n"/>
    </row>
    <row r="38" ht="153" customHeight="1">
      <c r="A38" s="36" t="n">
        <v>31</v>
      </c>
      <c r="B38" s="37" t="inlineStr">
        <is>
          <t>TP1–TP5</t>
        </is>
      </c>
      <c r="C38" s="37" t="inlineStr">
        <is>
          <t>Mechanical / Safety</t>
        </is>
      </c>
      <c r="D38" s="16" t="inlineStr">
        <is>
          <t>Test Points (×5)</t>
        </is>
      </c>
      <c r="E38" s="16" t="inlineStr">
        <is>
          <t>Through-hole solder pad</t>
        </is>
      </c>
      <c r="F38" s="17" t="n">
        <v>5</v>
      </c>
      <c r="G38" s="16" t="inlineStr">
        <is>
          <t>Keystone 5000 or bare pad</t>
        </is>
      </c>
      <c r="H38" s="16" t="inlineStr">
        <is>
          <t>5 test points on critical nets:
• TP1 on +V_PV (PV voltage after protection diode D1)
• TP2 on CHGR_OUT (XL4015 charger output — verify 12.6V before battery connection)
• TP3 on V_BATT (BMS P+ protected output — actual pack voltage)
• TP4 on V_BAT_ADC (voltage divider midpoint — verify ≈3.1V when battery at 12.6V)
• TP5 on TEMP_DQ (DS18B20 data line — view 1-Wire pulses with oscilloscope)
Use coloured test point loops: red=power, black=GND, yellow=signal.</t>
        </is>
      </c>
      <c r="I38" s="18" t="n">
        <v>18</v>
      </c>
      <c r="J38" s="19">
        <f>IF(I38="","",I38*F38)</f>
        <v/>
      </c>
      <c r="K38" s="20" t="inlineStr">
        <is>
          <t>No</t>
        </is>
      </c>
      <c r="L38" s="21" t="n"/>
    </row>
    <row r="39" ht="60.75" customHeight="1">
      <c r="A39" s="36" t="n">
        <v>32</v>
      </c>
      <c r="B39" s="37" t="inlineStr">
        <is>
          <t>LED1</t>
        </is>
      </c>
      <c r="C39" s="37" t="inlineStr">
        <is>
          <t>Mechanical / Safety</t>
        </is>
      </c>
      <c r="D39" s="22" t="inlineStr">
        <is>
          <t>LED Indicator — Power ON</t>
        </is>
      </c>
      <c r="E39" s="22" t="inlineStr">
        <is>
          <t>Green, 3mm, 2.1V Vf, 20mA</t>
        </is>
      </c>
      <c r="F39" s="23" t="n">
        <v>1</v>
      </c>
      <c r="G39" s="22" t="inlineStr">
        <is>
          <t>3mm through-hole</t>
        </is>
      </c>
      <c r="H39" s="22" t="inlineStr">
        <is>
          <t>Visual power-on indicator for +5V_MCU rail. Anode via R_LED (1kΩ) from +5V_MCU; Cathode to GND. Current = (5V − 2.1V) / 1kΩ ≈ 2.9mA — dim but visible. Use 470Ω for brighter indication.</t>
        </is>
      </c>
      <c r="I39" s="18" t="n">
        <v>11</v>
      </c>
      <c r="J39" s="19">
        <f>IF(I39="","",I39*F39)</f>
        <v/>
      </c>
      <c r="K39" s="20" t="inlineStr">
        <is>
          <t>No</t>
        </is>
      </c>
      <c r="L39" s="21" t="n"/>
    </row>
    <row r="40" ht="94.5" customHeight="1">
      <c r="A40" s="36" t="n">
        <v>33</v>
      </c>
      <c r="B40" s="37" t="inlineStr">
        <is>
          <t>PCB1</t>
        </is>
      </c>
      <c r="C40" s="37" t="inlineStr">
        <is>
          <t>Mechanical / Safety</t>
        </is>
      </c>
      <c r="D40" s="16" t="inlineStr">
        <is>
          <t>Breadboard (Prototyping)</t>
        </is>
      </c>
      <c r="E40" s="16" t="inlineStr">
        <is>
          <t>830-point, full-size</t>
        </is>
      </c>
      <c r="F40" s="17" t="n">
        <v>1</v>
      </c>
      <c r="G40" s="16" t="inlineStr">
        <is>
          <t>830-point solderless breadboard</t>
        </is>
      </c>
      <c r="H40" s="16" t="inlineStr">
        <is>
          <t>For initial prototyping and firmware development before PCB fabrication. Build the circuit on breadboard first to validate all connections, firmware, and thresholds. Only move to PCB once system is fully verified on breadboard. 830 points is sufficient for the full Solar BEMS circuit.</t>
        </is>
      </c>
      <c r="I40" s="18" t="n">
        <v>45</v>
      </c>
      <c r="J40" s="19">
        <f>IF(I40="","",I40*F40)</f>
        <v/>
      </c>
      <c r="K40" s="20" t="inlineStr">
        <is>
          <t>Yes</t>
        </is>
      </c>
      <c r="L40" s="21" t="n"/>
    </row>
    <row r="41" ht="102.75" customHeight="1">
      <c r="A41" s="38" t="n">
        <v>34</v>
      </c>
      <c r="B41" s="39" t="inlineStr">
        <is>
          <t>LOAD1</t>
        </is>
      </c>
      <c r="C41" s="39" t="inlineStr">
        <is>
          <t>Load Device</t>
        </is>
      </c>
      <c r="D41" s="22" t="inlineStr">
        <is>
          <t>12V DC Fan</t>
        </is>
      </c>
      <c r="E41" s="22" t="inlineStr">
        <is>
          <t>12V DC, 0.1–0.5A, brushless</t>
        </is>
      </c>
      <c r="F41" s="23" t="n">
        <v>1</v>
      </c>
      <c r="G41" s="22" t="inlineStr">
        <is>
          <t>80mm or 120mm PC cooling fan</t>
        </is>
      </c>
      <c r="H41" s="22" t="inlineStr">
        <is>
          <t>Output test load and demonstration device. Controlled by Q1 MOSFET switch driven from Arduino pin 8. Inductive load — D4 flyback diode across Q1 drain-source is mandatory. An 80mm PC fan (12V, ~0.2A, 2.4W) is ideal for demonstration. Can also use any 12V resistive/inductive DC load up to Q1's 15A current rating.</t>
        </is>
      </c>
      <c r="I41" s="18" t="n">
        <v>50</v>
      </c>
      <c r="J41" s="19">
        <f>IF(I41="","",I41*F41)</f>
        <v/>
      </c>
      <c r="K41" s="20" t="inlineStr">
        <is>
          <t>Yes</t>
        </is>
      </c>
      <c r="L41" s="21" t="n"/>
    </row>
    <row r="42" ht="108.75" customHeight="1">
      <c r="A42" s="38" t="n">
        <v>35</v>
      </c>
      <c r="B42" s="39" t="inlineStr">
        <is>
          <t>PV1</t>
        </is>
      </c>
      <c r="C42" s="39" t="inlineStr">
        <is>
          <t>PV Panel</t>
        </is>
      </c>
      <c r="D42" s="16" t="inlineStr">
        <is>
          <t>Solar Panel — 25Wp Monocrystalline</t>
        </is>
      </c>
      <c r="E42" s="16" t="inlineStr">
        <is>
          <t>Voc=24.62V, Vmp=20.84V, Isc=1.38A</t>
        </is>
      </c>
      <c r="F42" s="17" t="n">
        <v>1</v>
      </c>
      <c r="G42" s="16" t="inlineStr">
        <is>
          <t>Rigid glass, ~36×25cm typical</t>
        </is>
      </c>
      <c r="H42" s="16" t="inlineStr">
        <is>
          <t>Primary energy source. Monocrystalline for highest efficiency in limited space. Vmp (~20.84V) &gt; battery max voltage (12.6V) → XL4015 buck converter required (correct). Output current at MPP (Imp) ≈ 1.23A. Connect via J1 screw terminal with 20AWG wire. Include a weatherproof junction box on the panel if used outdoors.</t>
        </is>
      </c>
      <c r="I42" s="18" t="n">
        <v>900</v>
      </c>
      <c r="J42" s="19">
        <f>IF(I42="","",I42*F42)</f>
        <v/>
      </c>
      <c r="K42" s="20" t="inlineStr">
        <is>
          <t>Yes</t>
        </is>
      </c>
      <c r="L42" s="21" t="n"/>
    </row>
    <row r="43" ht="75" customHeight="1">
      <c r="A43" s="38" t="n">
        <v>36</v>
      </c>
      <c r="B43" s="39" t="inlineStr">
        <is>
          <t>JP1</t>
        </is>
      </c>
      <c r="C43" s="39" t="inlineStr">
        <is>
          <t>Misc</t>
        </is>
      </c>
      <c r="D43" s="22" t="inlineStr">
        <is>
          <t>INA219 Address Jumpers</t>
        </is>
      </c>
      <c r="E43" s="22" t="inlineStr">
        <is>
          <t>2×2 solder pad or 0Ω link</t>
        </is>
      </c>
      <c r="F43" s="23" t="n">
        <v>1</v>
      </c>
      <c r="G43" s="22" t="inlineStr">
        <is>
          <t>Solder pads / 0Ω resistor</t>
        </is>
      </c>
      <c r="H43" s="22" t="inlineStr">
        <is>
          <t>Sets INA219 I2C address via A0 and A1 pins. Default A0=GND, A1=GND → address 0x40. If 0x40 is occupied, bridge A0 pad to VCC → address 0x41. Can be implemented as solder bridge pads on PCB — no component needed if using 0x40.</t>
        </is>
      </c>
      <c r="I43" s="18" t="n">
        <v>80</v>
      </c>
      <c r="J43" s="19">
        <f>IF(I43="","",I43*F43)</f>
        <v/>
      </c>
      <c r="K43" s="20" t="inlineStr">
        <is>
          <t>Yes</t>
        </is>
      </c>
      <c r="L43" s="21" t="n"/>
    </row>
    <row r="44" ht="103.5" customHeight="1">
      <c r="A44" s="38" t="n">
        <v>37</v>
      </c>
      <c r="B44" s="39" t="inlineStr">
        <is>
          <t>WIRE</t>
        </is>
      </c>
      <c r="C44" s="39" t="inlineStr">
        <is>
          <t>Misc</t>
        </is>
      </c>
      <c r="D44" s="16" t="inlineStr">
        <is>
          <t>Hookup Wire — Assorted</t>
        </is>
      </c>
      <c r="E44" s="16" t="inlineStr">
        <is>
          <t>20AWG + 26AWG, multiple colours</t>
        </is>
      </c>
      <c r="F44" s="17" t="n">
        <v>1</v>
      </c>
      <c r="G44" s="16" t="inlineStr">
        <is>
          <t>Assortment or by-the-meter</t>
        </is>
      </c>
      <c r="H44" s="16" t="inlineStr">
        <is>
          <t>For breadboard prototyping and point-to-point wiring. Power rails (V_PV, V_BATT, GND): use 20AWG red (+) / black (−) silicone wire. Signal wires (I2C, 1-Wire, ADC): use 26AWG solid core for breadboard; 26AWG stranded for off-board sensors (DS18B20 probe cable). Buy a pre-cut jumper wire set for breadboard work.</t>
        </is>
      </c>
      <c r="I44" s="18" t="n">
        <v>50</v>
      </c>
      <c r="J44" s="19">
        <f>IF(I44="","",I44*F44)</f>
        <v/>
      </c>
      <c r="K44" s="20" t="inlineStr">
        <is>
          <t>No</t>
        </is>
      </c>
      <c r="L44" s="21" t="n"/>
    </row>
    <row r="45" ht="78" customHeight="1">
      <c r="A45" s="38" t="n">
        <v>38</v>
      </c>
      <c r="B45" s="39" t="inlineStr">
        <is>
          <t>MISC</t>
        </is>
      </c>
      <c r="C45" s="39" t="inlineStr">
        <is>
          <t>Misc</t>
        </is>
      </c>
      <c r="D45" s="22" t="inlineStr">
        <is>
          <t>Heatsink + Thermal Tape</t>
        </is>
      </c>
      <c r="E45" s="22" t="inlineStr">
        <is>
          <t>Small aluminium heatsink, TO-220 size</t>
        </is>
      </c>
      <c r="F45" s="23" t="n">
        <v>1</v>
      </c>
      <c r="G45" s="22" t="inlineStr">
        <is>
          <t>Clip-on or adhesive heatsink</t>
        </is>
      </c>
      <c r="H45" s="22" t="inlineStr">
        <is>
          <t>Required for Q1 (IRLZ44N) if load current &gt; 2A, and optionally for XL4015 and LM2596 modules. Apply thermal tape between component tab and heatsink for good thermal contact. TO-220 clip-on heatsinks are inexpensive and widely available.</t>
        </is>
      </c>
      <c r="I45" s="18" t="n">
        <v>70</v>
      </c>
      <c r="J45" s="19">
        <f>IF(I45="","",I45*F45)</f>
        <v/>
      </c>
      <c r="K45" s="20" t="inlineStr">
        <is>
          <t>No</t>
        </is>
      </c>
      <c r="L45" s="21" t="n"/>
    </row>
    <row r="46" ht="24" customHeight="1">
      <c r="A46" s="6" t="inlineStr">
        <is>
          <t>TOTAL ESTIMATED COST</t>
        </is>
      </c>
      <c r="B46" s="71" t="n"/>
      <c r="C46" s="71" t="n"/>
      <c r="D46" s="71" t="n"/>
      <c r="E46" s="71" t="n"/>
      <c r="F46" s="71" t="n"/>
      <c r="G46" s="71" t="n"/>
      <c r="H46" s="71" t="n"/>
      <c r="I46" s="40" t="n"/>
      <c r="J46" s="41">
        <f>SUMIF(J8:J45,"&lt;&gt;""",J8:J45)</f>
        <v/>
      </c>
      <c r="K46" s="40" t="n"/>
      <c r="L46" s="40" t="n"/>
    </row>
    <row r="47" ht="31.5" customHeight="1">
      <c r="A47" s="5" t="inlineStr">
        <is>
          <t>★  Fill in Unit Price (₺) column after purchasing each component — Total Price and Grand Total calculate automatically.  ★  Use the 'Procured?' dropdown (Yes / No / Ordered) to track purchase status.  ★  Prices shown are per-unit. Qty column adjusts totals automatically.</t>
        </is>
      </c>
      <c r="B47" s="72" t="n"/>
      <c r="C47" s="72" t="n"/>
      <c r="D47" s="72" t="n"/>
      <c r="E47" s="72" t="n"/>
      <c r="F47" s="72" t="n"/>
      <c r="G47" s="72" t="n"/>
      <c r="H47" s="72" t="n"/>
      <c r="I47" s="72" t="n"/>
      <c r="J47" s="72" t="n"/>
      <c r="K47" s="72" t="n"/>
      <c r="L47" s="72" t="n"/>
    </row>
  </sheetData>
  <mergeCells count="9">
    <mergeCell ref="A2:L2"/>
    <mergeCell ref="A46:H46"/>
    <mergeCell ref="A47:L47"/>
    <mergeCell ref="A1:L1"/>
    <mergeCell ref="A5:L5"/>
    <mergeCell ref="G3:L3"/>
    <mergeCell ref="A6:L6"/>
    <mergeCell ref="A3:F3"/>
    <mergeCell ref="A4:L4"/>
  </mergeCells>
  <dataValidations count="1">
    <dataValidation sqref="K8:K45" showDropDown="0" showInputMessage="0" showErrorMessage="0" allowBlank="1" type="list">
      <formula1>"Yes,No,Ordered"</formula1>
      <formula2>0</formula2>
    </dataValidation>
  </dataValidation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E24"/>
  <sheetViews>
    <sheetView showGridLines="0" zoomScaleNormal="100" workbookViewId="0">
      <selection activeCell="A1" sqref="A1"/>
    </sheetView>
  </sheetViews>
  <sheetFormatPr baseColWidth="8" defaultColWidth="8.6640625" defaultRowHeight="14.4"/>
  <cols>
    <col width="32" customWidth="1" min="1" max="1"/>
    <col width="16" customWidth="1" min="2" max="4"/>
    <col width="32" customWidth="1" min="5" max="5"/>
  </cols>
  <sheetData>
    <row r="1" ht="27.75" customHeight="1">
      <c r="A1" s="42" t="inlineStr">
        <is>
          <t>SOLAR BEMS — COST SUMMARY BY CATEGORY</t>
        </is>
      </c>
    </row>
    <row r="2" ht="18" customHeight="1">
      <c r="A2" s="3" t="inlineStr">
        <is>
          <t>Prices auto-populate from 'Bill of Materials' sheet as you fill them in</t>
        </is>
      </c>
    </row>
    <row r="3" ht="7.5" customHeight="1"/>
    <row r="4" ht="24" customHeight="1">
      <c r="A4" s="43" t="inlineStr">
        <is>
          <t>Category</t>
        </is>
      </c>
      <c r="B4" s="43" t="inlineStr">
        <is>
          <t># Items</t>
        </is>
      </c>
      <c r="C4" s="43" t="inlineStr">
        <is>
          <t>Unit Prices Filled</t>
        </is>
      </c>
      <c r="D4" s="43" t="inlineStr">
        <is>
          <t>Subtotal (₺)</t>
        </is>
      </c>
      <c r="E4" s="43" t="inlineStr">
        <is>
          <t>Notes</t>
        </is>
      </c>
    </row>
    <row r="5" ht="19.5" customHeight="1">
      <c r="A5" s="44" t="inlineStr">
        <is>
          <t>ICs / Active</t>
        </is>
      </c>
      <c r="B5" s="45">
        <f>COUNTIF('Bill of Materials'!C8:C45,A5)</f>
        <v/>
      </c>
      <c r="C5" s="46">
        <f>SUMPRODUCT(('Bill of Materials'!C8:C45=A5)*('Bill of Materials'!I8:I45&lt;&gt;""))</f>
        <v/>
      </c>
      <c r="D5" s="19">
        <f>SUMIF('Bill of Materials'!C8:C45,A5,'Bill of Materials'!J8:J45)</f>
        <v/>
      </c>
      <c r="E5" s="47" t="inlineStr">
        <is>
          <t>U1, U2, U4, Q1, ARD1 — core active devices</t>
        </is>
      </c>
    </row>
    <row r="6" ht="19.5" customHeight="1">
      <c r="A6" s="48" t="inlineStr">
        <is>
          <t>Modules</t>
        </is>
      </c>
      <c r="B6" s="49">
        <f>COUNTIF('Bill of Materials'!C8:C45,A6)</f>
        <v/>
      </c>
      <c r="C6" s="46">
        <f>SUMPRODUCT(('Bill of Materials'!C8:C45=A6)*('Bill of Materials'!I8:I45&lt;&gt;""))</f>
        <v/>
      </c>
      <c r="D6" s="19">
        <f>SUMIF('Bill of Materials'!C8:C45,A6,'Bill of Materials'!J8:J45)</f>
        <v/>
      </c>
      <c r="E6" s="50" t="inlineStr">
        <is>
          <t>BMS, OLED, batteries, holder</t>
        </is>
      </c>
    </row>
    <row r="7" ht="19.5" customHeight="1">
      <c r="A7" s="51" t="inlineStr">
        <is>
          <t>Inductors</t>
        </is>
      </c>
      <c r="B7" s="45">
        <f>COUNTIF('Bill of Materials'!C8:C45,A7)</f>
        <v/>
      </c>
      <c r="C7" s="46">
        <f>SUMPRODUCT(('Bill of Materials'!C8:C45=A7)*('Bill of Materials'!I8:I45&lt;&gt;""))</f>
        <v/>
      </c>
      <c r="D7" s="19">
        <f>SUMIF('Bill of Materials'!C8:C45,A7,'Bill of Materials'!J8:J45)</f>
        <v/>
      </c>
      <c r="E7" s="47" t="inlineStr">
        <is>
          <t>L1, L2 — power inductors for DC-DC converters</t>
        </is>
      </c>
    </row>
    <row r="8" ht="19.5" customHeight="1">
      <c r="A8" s="52" t="inlineStr">
        <is>
          <t>Diodes</t>
        </is>
      </c>
      <c r="B8" s="49">
        <f>COUNTIF('Bill of Materials'!C8:C45,A8)</f>
        <v/>
      </c>
      <c r="C8" s="46">
        <f>SUMPRODUCT(('Bill of Materials'!C8:C45=A8)*('Bill of Materials'!I8:I45&lt;&gt;""))</f>
        <v/>
      </c>
      <c r="D8" s="19">
        <f>SUMIF('Bill of Materials'!C8:C45,A8,'Bill of Materials'!J8:J45)</f>
        <v/>
      </c>
      <c r="E8" s="50" t="inlineStr">
        <is>
          <t>D1–D4, TVS1 — protection and switching diodes</t>
        </is>
      </c>
    </row>
    <row r="9" ht="19.5" customHeight="1">
      <c r="A9" s="53" t="inlineStr">
        <is>
          <t>Capacitors</t>
        </is>
      </c>
      <c r="B9" s="45">
        <f>COUNTIF('Bill of Materials'!C8:C45,A9)</f>
        <v/>
      </c>
      <c r="C9" s="46">
        <f>SUMPRODUCT(('Bill of Materials'!C8:C45=A9)*('Bill of Materials'!I8:I45&lt;&gt;""))</f>
        <v/>
      </c>
      <c r="D9" s="19">
        <f>SUMIF('Bill of Materials'!C8:C45,A9,'Bill of Materials'!J8:J45)</f>
        <v/>
      </c>
      <c r="E9" s="47" t="inlineStr">
        <is>
          <t>Electrolytic and ceramic caps (14 total)</t>
        </is>
      </c>
    </row>
    <row r="10" ht="19.5" customHeight="1">
      <c r="A10" s="54" t="inlineStr">
        <is>
          <t>Resistors</t>
        </is>
      </c>
      <c r="B10" s="49">
        <f>COUNTIF('Bill of Materials'!C8:C45,A10)</f>
        <v/>
      </c>
      <c r="C10" s="46">
        <f>SUMPRODUCT(('Bill of Materials'!C8:C45=A10)*('Bill of Materials'!I8:I45&lt;&gt;""))</f>
        <v/>
      </c>
      <c r="D10" s="19">
        <f>SUMIF('Bill of Materials'!C8:C45,A10,'Bill of Materials'!J8:J45)</f>
        <v/>
      </c>
      <c r="E10" s="50" t="inlineStr">
        <is>
          <t>12 values — see BOM notes for full list</t>
        </is>
      </c>
    </row>
    <row r="11" ht="19.5" customHeight="1">
      <c r="A11" s="55" t="inlineStr">
        <is>
          <t>Connectors</t>
        </is>
      </c>
      <c r="B11" s="45">
        <f>COUNTIF('Bill of Materials'!C8:C45,A11)</f>
        <v/>
      </c>
      <c r="C11" s="46">
        <f>SUMPRODUCT(('Bill of Materials'!C8:C45=A11)*('Bill of Materials'!I8:I45&lt;&gt;""))</f>
        <v/>
      </c>
      <c r="D11" s="19">
        <f>SUMIF('Bill of Materials'!C8:C45,A11,'Bill of Materials'!J8:J45)</f>
        <v/>
      </c>
      <c r="E11" s="47" t="inlineStr">
        <is>
          <t>J1–J6 — screw terminals and pin headers</t>
        </is>
      </c>
    </row>
    <row r="12" ht="19.5" customHeight="1">
      <c r="A12" s="56" t="inlineStr">
        <is>
          <t>Mechanical / Safety</t>
        </is>
      </c>
      <c r="B12" s="49">
        <f>COUNTIF('Bill of Materials'!C8:C45,A12)</f>
        <v/>
      </c>
      <c r="C12" s="46">
        <f>SUMPRODUCT(('Bill of Materials'!C8:C45=A12)*('Bill of Materials'!I8:I45&lt;&gt;""))</f>
        <v/>
      </c>
      <c r="D12" s="19">
        <f>SUMIF('Bill of Materials'!C8:C45,A12,'Bill of Materials'!J8:J45)</f>
        <v/>
      </c>
      <c r="E12" s="50" t="inlineStr">
        <is>
          <t>Fuse, test points, LED, breadboard</t>
        </is>
      </c>
    </row>
    <row r="13" ht="19.5" customHeight="1">
      <c r="A13" s="57" t="inlineStr">
        <is>
          <t>Load Device</t>
        </is>
      </c>
      <c r="B13" s="45">
        <f>COUNTIF('Bill of Materials'!C8:C45,A13)</f>
        <v/>
      </c>
      <c r="C13" s="46">
        <f>SUMPRODUCT(('Bill of Materials'!C8:C45=A13)*('Bill of Materials'!I8:I45&lt;&gt;""))</f>
        <v/>
      </c>
      <c r="D13" s="19">
        <f>SUMIF('Bill of Materials'!C8:C45,A13,'Bill of Materials'!J8:J45)</f>
        <v/>
      </c>
      <c r="E13" s="47" t="inlineStr">
        <is>
          <t>12V DC fan load</t>
        </is>
      </c>
    </row>
    <row r="14" ht="19.5" customHeight="1">
      <c r="A14" s="57" t="inlineStr">
        <is>
          <t>PV Panel</t>
        </is>
      </c>
      <c r="B14" s="49">
        <f>COUNTIF('Bill of Materials'!C8:C45,A14)</f>
        <v/>
      </c>
      <c r="C14" s="46">
        <f>SUMPRODUCT(('Bill of Materials'!C8:C45=A14)*('Bill of Materials'!I8:I45&lt;&gt;""))</f>
        <v/>
      </c>
      <c r="D14" s="19">
        <f>SUMIF('Bill of Materials'!C8:C45,A14,'Bill of Materials'!J8:J45)</f>
        <v/>
      </c>
      <c r="E14" s="50" t="inlineStr">
        <is>
          <t>25Wp monocrystalline panel</t>
        </is>
      </c>
    </row>
    <row r="15" ht="19.5" customHeight="1">
      <c r="A15" s="57" t="inlineStr">
        <is>
          <t>Misc</t>
        </is>
      </c>
      <c r="B15" s="45">
        <f>COUNTIF('Bill of Materials'!C8:C45,A15)</f>
        <v/>
      </c>
      <c r="C15" s="46">
        <f>SUMPRODUCT(('Bill of Materials'!C8:C45=A15)*('Bill of Materials'!I8:I45&lt;&gt;""))</f>
        <v/>
      </c>
      <c r="D15" s="19">
        <f>SUMIF('Bill of Materials'!C8:C45,A15,'Bill of Materials'!J8:J45)</f>
        <v/>
      </c>
      <c r="E15" s="47" t="inlineStr">
        <is>
          <t>Jumpers, wire, heatsinks</t>
        </is>
      </c>
    </row>
    <row r="16" ht="25.5" customHeight="1">
      <c r="A16" s="2" t="inlineStr">
        <is>
          <t>GRAND TOTAL</t>
        </is>
      </c>
      <c r="B16" s="71" t="n"/>
      <c r="C16" s="71" t="n"/>
      <c r="D16" s="58">
        <f>SUM(D5:D15)</f>
        <v/>
      </c>
      <c r="E16" s="59" t="inlineStr">
        <is>
          <t>Updates automatically as you fill in prices</t>
        </is>
      </c>
    </row>
    <row r="18" ht="21.75" customHeight="1">
      <c r="A18" s="1" t="inlineStr">
        <is>
          <t>PROCUREMENT PROGRESS</t>
        </is>
      </c>
    </row>
    <row r="19">
      <c r="A19" s="43" t="inlineStr">
        <is>
          <t>Metric</t>
        </is>
      </c>
      <c r="B19" s="43" t="inlineStr">
        <is>
          <t>Count</t>
        </is>
      </c>
      <c r="C19" s="43" t="inlineStr">
        <is>
          <t>Formula / Note</t>
        </is>
      </c>
    </row>
    <row r="20" ht="18" customHeight="1">
      <c r="A20" s="60" t="inlineStr">
        <is>
          <t>Total line items</t>
        </is>
      </c>
      <c r="B20" s="61">
        <f>COUNTA('Bill of Materials'!B8:B45)</f>
        <v/>
      </c>
      <c r="C20" s="62" t="inlineStr">
        <is>
          <t>Total rows in BOM</t>
        </is>
      </c>
    </row>
    <row r="21" ht="18" customHeight="1">
      <c r="A21" s="63" t="inlineStr">
        <is>
          <t>Marked 'Yes'</t>
        </is>
      </c>
      <c r="B21" s="61">
        <f>COUNTIF('Bill of Materials'!K8:K45,"Yes")</f>
        <v/>
      </c>
      <c r="C21" s="62" t="inlineStr">
        <is>
          <t>Physically received</t>
        </is>
      </c>
    </row>
    <row r="22" ht="18" customHeight="1">
      <c r="A22" s="60" t="inlineStr">
        <is>
          <t>Marked 'Ordered'</t>
        </is>
      </c>
      <c r="B22" s="61">
        <f>COUNTIF('Bill of Materials'!K8:K45,"Ordered")</f>
        <v/>
      </c>
      <c r="C22" s="62" t="inlineStr">
        <is>
          <t>Ordered, awaiting delivery</t>
        </is>
      </c>
    </row>
    <row r="23" ht="18" customHeight="1">
      <c r="A23" s="63" t="inlineStr">
        <is>
          <t>Marked 'No'</t>
        </is>
      </c>
      <c r="B23" s="61">
        <f>COUNTIF('Bill of Materials'!K8:K45,"No")</f>
        <v/>
      </c>
      <c r="C23" s="62" t="inlineStr">
        <is>
          <t>Not yet ordered</t>
        </is>
      </c>
    </row>
    <row r="24" ht="18" customHeight="1">
      <c r="A24" s="60" t="inlineStr">
        <is>
          <t>% Procured</t>
        </is>
      </c>
      <c r="B24" s="64">
        <f>IFERROR(COUNTIF('Bill of Materials'!K8:K45,"Yes")/COUNTA('Bill of Materials'!K8:K45),0)</f>
        <v/>
      </c>
      <c r="C24" s="62" t="inlineStr">
        <is>
          <t>Complete procurement %</t>
        </is>
      </c>
    </row>
  </sheetData>
  <mergeCells count="4">
    <mergeCell ref="A2:E2"/>
    <mergeCell ref="A1:E1"/>
    <mergeCell ref="A18:E18"/>
    <mergeCell ref="A16:C16"/>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27"/>
  <sheetViews>
    <sheetView showGridLines="0" zoomScaleNormal="100" workbookViewId="0">
      <selection activeCell="A1" sqref="A1"/>
    </sheetView>
  </sheetViews>
  <sheetFormatPr baseColWidth="8" defaultColWidth="8.6640625" defaultRowHeight="14.4"/>
  <cols>
    <col width="90" customWidth="1" min="1" max="1"/>
  </cols>
  <sheetData>
    <row r="1" ht="27.75" customHeight="1">
      <c r="A1" s="42" t="inlineStr">
        <is>
          <t>HOW TO USE THIS BOM</t>
        </is>
      </c>
    </row>
    <row r="2" ht="19.5" customHeight="1">
      <c r="A2" s="65" t="n"/>
    </row>
    <row r="3" ht="19.5" customHeight="1">
      <c r="A3" s="66" t="inlineStr">
        <is>
          <t>FILLING IN PRICES</t>
        </is>
      </c>
    </row>
    <row r="4" ht="19.5" customHeight="1">
      <c r="A4" s="67" t="inlineStr">
        <is>
          <t>1. Go to the 'Bill of Materials' sheet.</t>
        </is>
      </c>
    </row>
    <row r="5" ht="19.5" customHeight="1">
      <c r="A5" s="68" t="inlineStr">
        <is>
          <t>2. When you buy a component, click its Unit Price cell (column I — highlighted yellow).</t>
        </is>
      </c>
    </row>
    <row r="6" ht="19.5" customHeight="1">
      <c r="A6" s="67" t="inlineStr">
        <is>
          <t>3. Type the price you paid (numbers only — the ₺ sign is added automatically).</t>
        </is>
      </c>
    </row>
    <row r="7" ht="19.5" customHeight="1">
      <c r="A7" s="68" t="inlineStr">
        <is>
          <t>4. The Total Price (column J) calculates automatically using Qty × Unit Price.</t>
        </is>
      </c>
    </row>
    <row r="8" ht="19.5" customHeight="1">
      <c r="A8" s="67" t="inlineStr">
        <is>
          <t>5. The Grand Total at the bottom and the Cost Summary sheet both update instantly.</t>
        </is>
      </c>
    </row>
    <row r="9" ht="19.5" customHeight="1">
      <c r="A9" s="65" t="n"/>
    </row>
    <row r="10" ht="19.5" customHeight="1">
      <c r="A10" s="66" t="inlineStr">
        <is>
          <t>TRACKING PROCUREMENT</t>
        </is>
      </c>
    </row>
    <row r="11" ht="19.5" customHeight="1">
      <c r="A11" s="68" t="inlineStr">
        <is>
          <t>1. In the 'Procured?' column (column K), click the cell for any component.</t>
        </is>
      </c>
    </row>
    <row r="12" ht="19.5" customHeight="1">
      <c r="A12" s="67" t="inlineStr">
        <is>
          <t>2. A dropdown will appear — choose: Yes (received), Ordered (awaiting), or No (not bought yet).</t>
        </is>
      </c>
    </row>
    <row r="13" ht="19.5" customHeight="1">
      <c r="A13" s="68" t="inlineStr">
        <is>
          <t>3. The Cost Summary sheet tracks how many items are in each status.</t>
        </is>
      </c>
    </row>
    <row r="14" ht="19.5" customHeight="1">
      <c r="A14" s="65" t="n"/>
    </row>
    <row r="15" ht="19.5" customHeight="1">
      <c r="A15" s="66" t="inlineStr">
        <is>
          <t>IMPORTANT NOTES ON COMPONENTS</t>
        </is>
      </c>
    </row>
    <row r="16" ht="19.5" customHeight="1">
      <c r="A16" s="69" t="inlineStr">
        <is>
          <t>• Resistors: buy a full kit (600-piece 1/4W kit covers all 12 values needed).</t>
        </is>
      </c>
    </row>
    <row r="17" ht="19.5" customHeight="1">
      <c r="A17" s="70" t="inlineStr">
        <is>
          <t>• Capacitors: 100nF × 9 and 10µF × 1 ceramics are cheapest bought in bulk strips of 10.</t>
        </is>
      </c>
    </row>
    <row r="18" ht="19.5" customHeight="1">
      <c r="A18" s="69" t="inlineStr">
        <is>
          <t>• INA219 and SSD1306: available as ready-made modules on AliExpress/Trendyol — easier than buying bare ICs.</t>
        </is>
      </c>
    </row>
    <row r="19" ht="19.5" customHeight="1">
      <c r="A19" s="70" t="inlineStr">
        <is>
          <t>• XL4015 and LM2596: also available as pre-built modules — recommended for prototyping.</t>
        </is>
      </c>
    </row>
    <row r="20" ht="19.5" customHeight="1">
      <c r="A20" s="69" t="inlineStr">
        <is>
          <t>• Verify the OLED module I2C address (0x3C or 0x3D) — check the A0 pad on the back of the module.</t>
        </is>
      </c>
    </row>
    <row r="21" ht="19.5" customHeight="1">
      <c r="A21" s="70" t="inlineStr">
        <is>
          <t>• The 3S BMS module: make sure it has B+, B−, C1, C2 connections for cell balancing.</t>
        </is>
      </c>
    </row>
    <row r="22" ht="19.5" customHeight="1">
      <c r="A22" s="69" t="inlineStr">
        <is>
          <t>• Solar panel: buy locally if possible — shipping fragile glass panels is risky and expensive.</t>
        </is>
      </c>
    </row>
    <row r="23" ht="19.5" customHeight="1">
      <c r="A23" s="65" t="n"/>
    </row>
    <row r="24" ht="19.5" customHeight="1">
      <c r="A24" s="66" t="inlineStr">
        <is>
          <t>ADDING THIS TO YOUR REPORT</t>
        </is>
      </c>
    </row>
    <row r="25" ht="19.5" customHeight="1">
      <c r="A25" s="70" t="inlineStr">
        <is>
          <t>• Export this sheet as PDF: File → Export → Export as PDF → select 'Bill of Materials' sheet only.</t>
        </is>
      </c>
    </row>
    <row r="26" ht="19.5" customHeight="1">
      <c r="A26" s="69" t="inlineStr">
        <is>
          <t>• Or take a screenshot of rows 1 to the totals row for inclusion in the report appendix.</t>
        </is>
      </c>
    </row>
    <row r="27" ht="19.5" customHeight="1">
      <c r="A27" s="70" t="inlineStr">
        <is>
          <t>• Reference the BOM in your report as: 'Table X — Final Bill of Materials, Solar BEMS Implementation Phase'</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2026-04-13T19:55:25Z</dcterms:created>
  <dcterms:modified xmlns:dcterms="http://purl.org/dc/terms/" xmlns:xsi="http://www.w3.org/2001/XMLSchema-instance" xsi:type="dcterms:W3CDTF">2026-07-01T11:44:49Z</dcterms:modified>
  <cp:lastModifiedBy>AHMED SALAMA</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0x01010092DCD44F94BFFC498A87480FBC88B18E</vt:lpwstr>
  </property>
</Properties>
</file>